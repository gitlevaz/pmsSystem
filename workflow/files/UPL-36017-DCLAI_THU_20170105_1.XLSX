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pping-01\Documents\"/>
    </mc:Choice>
  </mc:AlternateContent>
  <bookViews>
    <workbookView xWindow="0" yWindow="0" windowWidth="20490" windowHeight="7530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Sheet1!$A$2:$S$307</definedName>
    <definedName name="_xlnm.Print_Area" localSheetId="0">Sheet1!$A$2:$G$307</definedName>
    <definedName name="_xlnm.Print_Titles" localSheetId="0">Sheet1!$2:$2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D19" i="1" l="1"/>
  <c r="B19" i="1"/>
  <c r="D52" i="1"/>
  <c r="B52" i="1"/>
  <c r="D18" i="1"/>
  <c r="B18" i="1"/>
  <c r="D51" i="1"/>
  <c r="B51" i="1"/>
  <c r="D26" i="1"/>
  <c r="B26" i="1"/>
  <c r="D68" i="1"/>
  <c r="B68" i="1"/>
  <c r="D22" i="1"/>
  <c r="B22" i="1"/>
  <c r="D69" i="1"/>
  <c r="B69" i="1"/>
  <c r="D50" i="1"/>
  <c r="B50" i="1"/>
  <c r="D49" i="1"/>
  <c r="B49" i="1"/>
  <c r="D59" i="1"/>
  <c r="B59" i="1"/>
  <c r="D58" i="1"/>
  <c r="B58" i="1"/>
  <c r="D72" i="1"/>
  <c r="B72" i="1"/>
  <c r="D67" i="1"/>
  <c r="B67" i="1"/>
  <c r="D17" i="1"/>
  <c r="B17" i="1"/>
  <c r="D66" i="1"/>
  <c r="B66" i="1"/>
  <c r="D48" i="1"/>
  <c r="B48" i="1"/>
  <c r="D47" i="1"/>
  <c r="B47" i="1"/>
  <c r="D25" i="1"/>
  <c r="B25" i="1"/>
  <c r="D46" i="1"/>
  <c r="B46" i="1"/>
  <c r="D6" i="1"/>
  <c r="B6" i="1"/>
  <c r="D16" i="1"/>
  <c r="B16" i="1"/>
  <c r="D45" i="1"/>
  <c r="B45" i="1"/>
  <c r="D15" i="1"/>
  <c r="B15" i="1"/>
  <c r="D44" i="1"/>
  <c r="B44" i="1"/>
  <c r="D24" i="1"/>
  <c r="B24" i="1"/>
  <c r="D65" i="1"/>
  <c r="B65" i="1"/>
  <c r="D43" i="1"/>
  <c r="B43" i="1"/>
  <c r="D14" i="1"/>
  <c r="B14" i="1"/>
  <c r="D42" i="1"/>
  <c r="B42" i="1"/>
  <c r="D41" i="1"/>
  <c r="B41" i="1"/>
  <c r="D40" i="1"/>
  <c r="B40" i="1"/>
  <c r="D57" i="1"/>
  <c r="B57" i="1"/>
  <c r="D39" i="1"/>
  <c r="B39" i="1"/>
  <c r="D38" i="1"/>
  <c r="B38" i="1"/>
  <c r="D37" i="1"/>
  <c r="B37" i="1"/>
  <c r="D36" i="1"/>
  <c r="B36" i="1"/>
  <c r="D13" i="1"/>
  <c r="B13" i="1"/>
  <c r="D35" i="1"/>
  <c r="B35" i="1"/>
  <c r="D64" i="1"/>
  <c r="B64" i="1"/>
  <c r="D12" i="1"/>
  <c r="B12" i="1"/>
  <c r="D34" i="1"/>
  <c r="B34" i="1"/>
  <c r="D56" i="1"/>
  <c r="B56" i="1"/>
  <c r="D11" i="1"/>
  <c r="B11" i="1"/>
  <c r="D33" i="1"/>
  <c r="B33" i="1"/>
  <c r="D21" i="1"/>
  <c r="B21" i="1"/>
  <c r="D32" i="1"/>
  <c r="B32" i="1"/>
  <c r="H177" i="2" l="1"/>
  <c r="I177" i="2" s="1"/>
  <c r="J177" i="2" s="1"/>
  <c r="K177" i="2" s="1"/>
  <c r="L177" i="2" s="1"/>
  <c r="M177" i="2" s="1"/>
  <c r="N177" i="2" s="1"/>
  <c r="O177" i="2" s="1"/>
  <c r="P177" i="2" s="1"/>
  <c r="Q177" i="2" s="1"/>
  <c r="L238" i="2"/>
  <c r="N236" i="2"/>
  <c r="O236" i="2" s="1"/>
  <c r="O235" i="2"/>
  <c r="Q235" i="2" s="1"/>
  <c r="O234" i="2"/>
  <c r="Q234" i="2" s="1"/>
  <c r="O233" i="2"/>
  <c r="Q233" i="2" s="1"/>
  <c r="N232" i="2"/>
  <c r="O232" i="2" s="1"/>
  <c r="Q231" i="2"/>
  <c r="O231" i="2"/>
  <c r="P231" i="2" s="1"/>
  <c r="N230" i="2"/>
  <c r="O230" i="2" s="1"/>
  <c r="O229" i="2"/>
  <c r="Q229" i="2" s="1"/>
  <c r="O228" i="2"/>
  <c r="Q228" i="2" s="1"/>
  <c r="N227" i="2"/>
  <c r="O227" i="2" s="1"/>
  <c r="N226" i="2"/>
  <c r="O226" i="2" s="1"/>
  <c r="Q226" i="2" s="1"/>
  <c r="O225" i="2"/>
  <c r="Q225" i="2" s="1"/>
  <c r="K225" i="2"/>
  <c r="N224" i="2"/>
  <c r="O224" i="2" s="1"/>
  <c r="Q224" i="2" s="1"/>
  <c r="N223" i="2"/>
  <c r="O223" i="2" s="1"/>
  <c r="Q223" i="2" s="1"/>
  <c r="O222" i="2"/>
  <c r="Q222" i="2" s="1"/>
  <c r="O221" i="2"/>
  <c r="N220" i="2"/>
  <c r="O220" i="2" s="1"/>
  <c r="Q220" i="2" s="1"/>
  <c r="O219" i="2"/>
  <c r="Q219" i="2" s="1"/>
  <c r="O218" i="2"/>
  <c r="P218" i="2" s="1"/>
  <c r="O217" i="2"/>
  <c r="Q217" i="2" s="1"/>
  <c r="N216" i="2"/>
  <c r="O216" i="2" s="1"/>
  <c r="N215" i="2"/>
  <c r="O215" i="2" s="1"/>
  <c r="P215" i="2" s="1"/>
  <c r="N214" i="2"/>
  <c r="O214" i="2" s="1"/>
  <c r="O213" i="2"/>
  <c r="P213" i="2" s="1"/>
  <c r="K212" i="2"/>
  <c r="N212" i="2" s="1"/>
  <c r="O212" i="2" s="1"/>
  <c r="O211" i="2"/>
  <c r="P211" i="2" s="1"/>
  <c r="O210" i="2"/>
  <c r="Q210" i="2" s="1"/>
  <c r="K210" i="2"/>
  <c r="O209" i="2"/>
  <c r="Q209" i="2" s="1"/>
  <c r="O208" i="2"/>
  <c r="O207" i="2"/>
  <c r="Q207" i="2" s="1"/>
  <c r="O206" i="2"/>
  <c r="P206" i="2" s="1"/>
  <c r="O205" i="2"/>
  <c r="Q205" i="2" s="1"/>
  <c r="O204" i="2"/>
  <c r="Q204" i="2" s="1"/>
  <c r="O203" i="2"/>
  <c r="Q203" i="2" s="1"/>
  <c r="N202" i="2"/>
  <c r="O202" i="2" s="1"/>
  <c r="O201" i="2"/>
  <c r="P201" i="2" s="1"/>
  <c r="O200" i="2"/>
  <c r="Q200" i="2" s="1"/>
  <c r="O199" i="2"/>
  <c r="Q199" i="2" s="1"/>
  <c r="O198" i="2"/>
  <c r="Q198" i="2" s="1"/>
  <c r="O197" i="2"/>
  <c r="K197" i="2"/>
  <c r="O196" i="2"/>
  <c r="P196" i="2" s="1"/>
  <c r="N195" i="2"/>
  <c r="O195" i="2" s="1"/>
  <c r="N194" i="2"/>
  <c r="O194" i="2" s="1"/>
  <c r="Q194" i="2" s="1"/>
  <c r="O193" i="2"/>
  <c r="Q193" i="2" s="1"/>
  <c r="O192" i="2"/>
  <c r="Q192" i="2" s="1"/>
  <c r="N191" i="2"/>
  <c r="O191" i="2" s="1"/>
  <c r="Q191" i="2" s="1"/>
  <c r="O190" i="2"/>
  <c r="Q190" i="2" s="1"/>
  <c r="O189" i="2"/>
  <c r="P189" i="2" s="1"/>
  <c r="N188" i="2"/>
  <c r="O188" i="2" s="1"/>
  <c r="O187" i="2"/>
  <c r="K187" i="2"/>
  <c r="N186" i="2"/>
  <c r="O186" i="2" s="1"/>
  <c r="N185" i="2"/>
  <c r="O185" i="2" s="1"/>
  <c r="Q185" i="2" s="1"/>
  <c r="O184" i="2"/>
  <c r="Q184" i="2" s="1"/>
  <c r="O183" i="2"/>
  <c r="Q183" i="2" s="1"/>
  <c r="O182" i="2"/>
  <c r="Q182" i="2" s="1"/>
  <c r="O181" i="2"/>
  <c r="Q180" i="2"/>
  <c r="N180" i="2"/>
  <c r="O180" i="2" s="1"/>
  <c r="P180" i="2" s="1"/>
  <c r="O179" i="2"/>
  <c r="L176" i="2"/>
  <c r="K176" i="2"/>
  <c r="F176" i="2"/>
  <c r="O174" i="2"/>
  <c r="N173" i="2"/>
  <c r="O173" i="2" s="1"/>
  <c r="O172" i="2"/>
  <c r="N171" i="2"/>
  <c r="O171" i="2" s="1"/>
  <c r="O170" i="2"/>
  <c r="P170" i="2" s="1"/>
  <c r="N169" i="2"/>
  <c r="O169" i="2" s="1"/>
  <c r="N168" i="2"/>
  <c r="O168" i="2" s="1"/>
  <c r="Q168" i="2" s="1"/>
  <c r="O167" i="2"/>
  <c r="Q167" i="2" s="1"/>
  <c r="O166" i="2"/>
  <c r="O165" i="2"/>
  <c r="Q165" i="2" s="1"/>
  <c r="N164" i="2"/>
  <c r="O164" i="2" s="1"/>
  <c r="N163" i="2"/>
  <c r="N162" i="2"/>
  <c r="O162" i="2" s="1"/>
  <c r="O161" i="2"/>
  <c r="O160" i="2"/>
  <c r="O159" i="2"/>
  <c r="O158" i="2"/>
  <c r="Q158" i="2" s="1"/>
  <c r="O157" i="2"/>
  <c r="Q157" i="2" s="1"/>
  <c r="O156" i="2"/>
  <c r="P156" i="2" s="1"/>
  <c r="O155" i="2"/>
  <c r="O154" i="2"/>
  <c r="Q154" i="2" s="1"/>
  <c r="O153" i="2"/>
  <c r="N152" i="2"/>
  <c r="O152" i="2" s="1"/>
  <c r="O151" i="2"/>
  <c r="Q151" i="2" s="1"/>
  <c r="O150" i="2"/>
  <c r="P150" i="2" s="1"/>
  <c r="O149" i="2"/>
  <c r="P149" i="2" s="1"/>
  <c r="O148" i="2"/>
  <c r="O147" i="2"/>
  <c r="O146" i="2"/>
  <c r="N145" i="2"/>
  <c r="O144" i="2"/>
  <c r="Q144" i="2" s="1"/>
  <c r="N143" i="2"/>
  <c r="O143" i="2" s="1"/>
  <c r="O142" i="2"/>
  <c r="Q142" i="2" s="1"/>
  <c r="N141" i="2"/>
  <c r="O140" i="2"/>
  <c r="Q140" i="2" s="1"/>
  <c r="O139" i="2"/>
  <c r="N138" i="2"/>
  <c r="O138" i="2" s="1"/>
  <c r="O137" i="2"/>
  <c r="O136" i="2"/>
  <c r="P136" i="2" s="1"/>
  <c r="O135" i="2"/>
  <c r="Q135" i="2" s="1"/>
  <c r="N134" i="2"/>
  <c r="O133" i="2"/>
  <c r="O132" i="2"/>
  <c r="Q132" i="2" s="1"/>
  <c r="O131" i="2"/>
  <c r="P131" i="2" s="1"/>
  <c r="O130" i="2"/>
  <c r="O129" i="2"/>
  <c r="O128" i="2"/>
  <c r="Q128" i="2" s="1"/>
  <c r="O127" i="2"/>
  <c r="Q127" i="2" s="1"/>
  <c r="O126" i="2"/>
  <c r="O125" i="2"/>
  <c r="P125" i="2" s="1"/>
  <c r="N124" i="2"/>
  <c r="O124" i="2" s="1"/>
  <c r="N123" i="2"/>
  <c r="N122" i="2"/>
  <c r="O122" i="2" s="1"/>
  <c r="N121" i="2"/>
  <c r="O121" i="2" s="1"/>
  <c r="O120" i="2"/>
  <c r="O119" i="2"/>
  <c r="P119" i="2" s="1"/>
  <c r="O118" i="2"/>
  <c r="O117" i="2"/>
  <c r="O116" i="2"/>
  <c r="P116" i="2" s="1"/>
  <c r="O115" i="2"/>
  <c r="Q115" i="2" s="1"/>
  <c r="N114" i="2"/>
  <c r="N113" i="2"/>
  <c r="O113" i="2" s="1"/>
  <c r="N112" i="2"/>
  <c r="O111" i="2"/>
  <c r="Q111" i="2" s="1"/>
  <c r="O110" i="2"/>
  <c r="O109" i="2"/>
  <c r="Q109" i="2" s="1"/>
  <c r="O108" i="2"/>
  <c r="Q108" i="2" s="1"/>
  <c r="O107" i="2"/>
  <c r="Q107" i="2" s="1"/>
  <c r="O106" i="2"/>
  <c r="P106" i="2" s="1"/>
  <c r="O105" i="2"/>
  <c r="O104" i="2"/>
  <c r="O103" i="2"/>
  <c r="Q103" i="2" s="1"/>
  <c r="O102" i="2"/>
  <c r="O101" i="2"/>
  <c r="Q101" i="2" s="1"/>
  <c r="O100" i="2"/>
  <c r="Q100" i="2" s="1"/>
  <c r="O99" i="2"/>
  <c r="Q99" i="2" s="1"/>
  <c r="O98" i="2"/>
  <c r="Q98" i="2" s="1"/>
  <c r="N97" i="2"/>
  <c r="O97" i="2" s="1"/>
  <c r="O96" i="2"/>
  <c r="Q96" i="2" s="1"/>
  <c r="O95" i="2"/>
  <c r="P95" i="2" s="1"/>
  <c r="O94" i="2"/>
  <c r="Q94" i="2" s="1"/>
  <c r="O93" i="2"/>
  <c r="P93" i="2" s="1"/>
  <c r="O92" i="2"/>
  <c r="P92" i="2" s="1"/>
  <c r="O91" i="2"/>
  <c r="Q91" i="2" s="1"/>
  <c r="O90" i="2"/>
  <c r="O89" i="2"/>
  <c r="O88" i="2"/>
  <c r="Q88" i="2" s="1"/>
  <c r="O87" i="2"/>
  <c r="P87" i="2" s="1"/>
  <c r="N86" i="2"/>
  <c r="O86" i="2" s="1"/>
  <c r="Q86" i="2" s="1"/>
  <c r="O85" i="2"/>
  <c r="O84" i="2"/>
  <c r="O83" i="2"/>
  <c r="N82" i="2"/>
  <c r="O82" i="2" s="1"/>
  <c r="N81" i="2"/>
  <c r="O81" i="2" s="1"/>
  <c r="N80" i="2"/>
  <c r="O80" i="2" s="1"/>
  <c r="O79" i="2"/>
  <c r="P79" i="2" s="1"/>
  <c r="O78" i="2"/>
  <c r="Q78" i="2" s="1"/>
  <c r="O77" i="2"/>
  <c r="O76" i="2"/>
  <c r="Q76" i="2" s="1"/>
  <c r="O75" i="2"/>
  <c r="O74" i="2"/>
  <c r="Q74" i="2" s="1"/>
  <c r="O73" i="2"/>
  <c r="P73" i="2" s="1"/>
  <c r="O72" i="2"/>
  <c r="Q72" i="2" s="1"/>
  <c r="O71" i="2"/>
  <c r="P71" i="2" s="1"/>
  <c r="O70" i="2"/>
  <c r="Q70" i="2" s="1"/>
  <c r="O69" i="2"/>
  <c r="O68" i="2"/>
  <c r="Q68" i="2" s="1"/>
  <c r="O67" i="2"/>
  <c r="Q67" i="2" s="1"/>
  <c r="O66" i="2"/>
  <c r="P66" i="2" s="1"/>
  <c r="N65" i="2"/>
  <c r="O65" i="2" s="1"/>
  <c r="N64" i="2"/>
  <c r="O64" i="2" s="1"/>
  <c r="O63" i="2"/>
  <c r="O62" i="2"/>
  <c r="Q62" i="2" s="1"/>
  <c r="O61" i="2"/>
  <c r="O60" i="2"/>
  <c r="Q60" i="2" s="1"/>
  <c r="O59" i="2"/>
  <c r="O58" i="2"/>
  <c r="Q58" i="2" s="1"/>
  <c r="O57" i="2"/>
  <c r="P57" i="2" s="1"/>
  <c r="O56" i="2"/>
  <c r="Q56" i="2" s="1"/>
  <c r="N55" i="2"/>
  <c r="O54" i="2"/>
  <c r="N53" i="2"/>
  <c r="O52" i="2"/>
  <c r="Q52" i="2" s="1"/>
  <c r="O51" i="2"/>
  <c r="O50" i="2"/>
  <c r="Q50" i="2" s="1"/>
  <c r="O49" i="2"/>
  <c r="O48" i="2"/>
  <c r="Q48" i="2" s="1"/>
  <c r="O47" i="2"/>
  <c r="O46" i="2"/>
  <c r="Q46" i="2" s="1"/>
  <c r="N45" i="2"/>
  <c r="O44" i="2"/>
  <c r="Q44" i="2" s="1"/>
  <c r="O43" i="2"/>
  <c r="Q43" i="2" s="1"/>
  <c r="O42" i="2"/>
  <c r="O41" i="2"/>
  <c r="Q41" i="2" s="1"/>
  <c r="O40" i="2"/>
  <c r="P40" i="2" s="1"/>
  <c r="O39" i="2"/>
  <c r="O38" i="2"/>
  <c r="P38" i="2" s="1"/>
  <c r="N37" i="2"/>
  <c r="O37" i="2" s="1"/>
  <c r="N36" i="2"/>
  <c r="O36" i="2" s="1"/>
  <c r="P36" i="2" s="1"/>
  <c r="N35" i="2"/>
  <c r="N34" i="2"/>
  <c r="O34" i="2" s="1"/>
  <c r="Q34" i="2" s="1"/>
  <c r="O33" i="2"/>
  <c r="Q33" i="2" s="1"/>
  <c r="O32" i="2"/>
  <c r="Q32" i="2" s="1"/>
  <c r="O31" i="2"/>
  <c r="O30" i="2"/>
  <c r="Q30" i="2" s="1"/>
  <c r="O29" i="2"/>
  <c r="P29" i="2" s="1"/>
  <c r="N28" i="2"/>
  <c r="O28" i="2" s="1"/>
  <c r="N27" i="2"/>
  <c r="O26" i="2"/>
  <c r="Q26" i="2" s="1"/>
  <c r="O25" i="2"/>
  <c r="O24" i="2"/>
  <c r="P24" i="2" s="1"/>
  <c r="O23" i="2"/>
  <c r="N22" i="2"/>
  <c r="O22" i="2" s="1"/>
  <c r="Q22" i="2" s="1"/>
  <c r="O21" i="2"/>
  <c r="Q21" i="2" s="1"/>
  <c r="O20" i="2"/>
  <c r="N19" i="2"/>
  <c r="O19" i="2" s="1"/>
  <c r="P19" i="2" s="1"/>
  <c r="N18" i="2"/>
  <c r="O17" i="2"/>
  <c r="O16" i="2"/>
  <c r="Q16" i="2" s="1"/>
  <c r="O15" i="2"/>
  <c r="Q15" i="2" s="1"/>
  <c r="N14" i="2"/>
  <c r="O14" i="2" s="1"/>
  <c r="Q14" i="2" s="1"/>
  <c r="N13" i="2"/>
  <c r="O13" i="2" s="1"/>
  <c r="N12" i="2"/>
  <c r="O12" i="2" s="1"/>
  <c r="O11" i="2"/>
  <c r="N10" i="2"/>
  <c r="O9" i="2"/>
  <c r="N8" i="2"/>
  <c r="O8" i="2" s="1"/>
  <c r="Q8" i="2" s="1"/>
  <c r="N7" i="2"/>
  <c r="O6" i="2"/>
  <c r="Q6" i="2" s="1"/>
  <c r="O5" i="2"/>
  <c r="Q5" i="2" s="1"/>
  <c r="O4" i="2"/>
  <c r="O3" i="2"/>
  <c r="P3" i="2" s="1"/>
  <c r="O2" i="2"/>
  <c r="Q2" i="2" s="1"/>
  <c r="Q201" i="2" l="1"/>
  <c r="O10" i="2"/>
  <c r="Q42" i="2"/>
  <c r="Q196" i="2"/>
  <c r="O27" i="2"/>
  <c r="O35" i="2"/>
  <c r="Q35" i="2" s="1"/>
  <c r="P51" i="2"/>
  <c r="Q211" i="2"/>
  <c r="Q208" i="2"/>
  <c r="P208" i="2"/>
  <c r="Q236" i="2"/>
  <c r="P236" i="2"/>
  <c r="Q137" i="2"/>
  <c r="O145" i="2"/>
  <c r="P145" i="2" s="1"/>
  <c r="P153" i="2"/>
  <c r="Q130" i="2"/>
  <c r="O123" i="2"/>
  <c r="Q174" i="2"/>
  <c r="Q187" i="2"/>
  <c r="P187" i="2"/>
  <c r="K238" i="2"/>
  <c r="P228" i="2"/>
  <c r="P192" i="2"/>
  <c r="Q218" i="2"/>
  <c r="Q125" i="2"/>
  <c r="P209" i="2"/>
  <c r="Q213" i="2"/>
  <c r="P229" i="2"/>
  <c r="P234" i="2"/>
  <c r="O134" i="2"/>
  <c r="Q134" i="2" s="1"/>
  <c r="P165" i="2"/>
  <c r="Q189" i="2"/>
  <c r="Q206" i="2"/>
  <c r="P172" i="2"/>
  <c r="Q12" i="2"/>
  <c r="Q172" i="2"/>
  <c r="O45" i="2"/>
  <c r="O53" i="2"/>
  <c r="Q85" i="2"/>
  <c r="Q160" i="2"/>
  <c r="Q23" i="2"/>
  <c r="O55" i="2"/>
  <c r="Q147" i="2"/>
  <c r="P155" i="2"/>
  <c r="O114" i="2"/>
  <c r="P114" i="2" s="1"/>
  <c r="P61" i="2"/>
  <c r="Q47" i="2"/>
  <c r="P63" i="2"/>
  <c r="Q63" i="2"/>
  <c r="P9" i="2"/>
  <c r="P17" i="2"/>
  <c r="Q126" i="2"/>
  <c r="O141" i="2"/>
  <c r="Q75" i="2"/>
  <c r="Q83" i="2"/>
  <c r="P91" i="2"/>
  <c r="P98" i="2"/>
  <c r="P105" i="2"/>
  <c r="P161" i="2"/>
  <c r="Q31" i="2"/>
  <c r="Q118" i="2"/>
  <c r="P133" i="2"/>
  <c r="P148" i="2"/>
  <c r="Q156" i="2"/>
  <c r="O18" i="2"/>
  <c r="Q90" i="2"/>
  <c r="P104" i="2"/>
  <c r="O112" i="2"/>
  <c r="P112" i="2" s="1"/>
  <c r="Q120" i="2"/>
  <c r="P26" i="2"/>
  <c r="Q136" i="2"/>
  <c r="O163" i="2"/>
  <c r="N176" i="2"/>
  <c r="P21" i="2"/>
  <c r="Q73" i="2"/>
  <c r="P88" i="2"/>
  <c r="Q116" i="2"/>
  <c r="P158" i="2"/>
  <c r="P5" i="2"/>
  <c r="Q36" i="2"/>
  <c r="Q170" i="2"/>
  <c r="Q216" i="2"/>
  <c r="P216" i="2"/>
  <c r="Q227" i="2"/>
  <c r="P227" i="2"/>
  <c r="Q212" i="2"/>
  <c r="P212" i="2"/>
  <c r="Q186" i="2"/>
  <c r="P186" i="2"/>
  <c r="Q202" i="2"/>
  <c r="P202" i="2"/>
  <c r="Q214" i="2"/>
  <c r="P214" i="2"/>
  <c r="P194" i="2"/>
  <c r="P207" i="2"/>
  <c r="P183" i="2"/>
  <c r="P199" i="2"/>
  <c r="Q215" i="2"/>
  <c r="O238" i="2"/>
  <c r="Q195" i="2"/>
  <c r="P195" i="2"/>
  <c r="P204" i="2"/>
  <c r="P220" i="2"/>
  <c r="P190" i="2"/>
  <c r="P223" i="2"/>
  <c r="Q230" i="2"/>
  <c r="P230" i="2"/>
  <c r="Q188" i="2"/>
  <c r="P188" i="2"/>
  <c r="Q221" i="2"/>
  <c r="P221" i="2"/>
  <c r="Q232" i="2"/>
  <c r="P232" i="2"/>
  <c r="P185" i="2"/>
  <c r="P225" i="2"/>
  <c r="Q181" i="2"/>
  <c r="P181" i="2"/>
  <c r="Q197" i="2"/>
  <c r="P197" i="2"/>
  <c r="P179" i="2"/>
  <c r="P184" i="2"/>
  <c r="P193" i="2"/>
  <c r="P200" i="2"/>
  <c r="P205" i="2"/>
  <c r="P210" i="2"/>
  <c r="P219" i="2"/>
  <c r="P235" i="2"/>
  <c r="N238" i="2"/>
  <c r="Q179" i="2"/>
  <c r="P182" i="2"/>
  <c r="P191" i="2"/>
  <c r="P198" i="2"/>
  <c r="P203" i="2"/>
  <c r="P217" i="2"/>
  <c r="P222" i="2"/>
  <c r="P224" i="2"/>
  <c r="P226" i="2"/>
  <c r="P233" i="2"/>
  <c r="P143" i="2"/>
  <c r="Q143" i="2"/>
  <c r="Q27" i="2"/>
  <c r="P81" i="2"/>
  <c r="Q81" i="2"/>
  <c r="Q71" i="2"/>
  <c r="P86" i="2"/>
  <c r="P96" i="2"/>
  <c r="Q106" i="2"/>
  <c r="P168" i="2"/>
  <c r="Q66" i="2"/>
  <c r="P76" i="2"/>
  <c r="P101" i="2"/>
  <c r="P128" i="2"/>
  <c r="Q133" i="2"/>
  <c r="Q155" i="2"/>
  <c r="Q29" i="2"/>
  <c r="P41" i="2"/>
  <c r="P46" i="2"/>
  <c r="Q51" i="2"/>
  <c r="Q93" i="2"/>
  <c r="P107" i="2"/>
  <c r="P151" i="2"/>
  <c r="P174" i="2"/>
  <c r="Q61" i="2"/>
  <c r="P58" i="2"/>
  <c r="Q161" i="2"/>
  <c r="Q24" i="2"/>
  <c r="Q150" i="2"/>
  <c r="P68" i="2"/>
  <c r="P83" i="2"/>
  <c r="P94" i="2"/>
  <c r="Q119" i="2"/>
  <c r="P6" i="2"/>
  <c r="P74" i="2"/>
  <c r="Q79" i="2"/>
  <c r="P99" i="2"/>
  <c r="Q104" i="2"/>
  <c r="P126" i="2"/>
  <c r="Q148" i="2"/>
  <c r="Q3" i="2"/>
  <c r="P56" i="2"/>
  <c r="P8" i="2"/>
  <c r="Q17" i="2"/>
  <c r="P32" i="2"/>
  <c r="Q38" i="2"/>
  <c r="P43" i="2"/>
  <c r="P48" i="2"/>
  <c r="P109" i="2"/>
  <c r="Q131" i="2"/>
  <c r="Q153" i="2"/>
  <c r="Q13" i="2"/>
  <c r="P13" i="2"/>
  <c r="Q173" i="2"/>
  <c r="P173" i="2"/>
  <c r="Q20" i="2"/>
  <c r="P20" i="2"/>
  <c r="Q89" i="2"/>
  <c r="P89" i="2"/>
  <c r="Q129" i="2"/>
  <c r="P129" i="2"/>
  <c r="P146" i="2"/>
  <c r="Q146" i="2"/>
  <c r="Q77" i="2"/>
  <c r="P77" i="2"/>
  <c r="Q82" i="2"/>
  <c r="P82" i="2"/>
  <c r="Q102" i="2"/>
  <c r="P102" i="2"/>
  <c r="Q117" i="2"/>
  <c r="P117" i="2"/>
  <c r="Q124" i="2"/>
  <c r="P124" i="2"/>
  <c r="Q139" i="2"/>
  <c r="P139" i="2"/>
  <c r="Q19" i="2"/>
  <c r="P28" i="2"/>
  <c r="Q28" i="2"/>
  <c r="Q37" i="2"/>
  <c r="P37" i="2"/>
  <c r="Q113" i="2"/>
  <c r="P113" i="2"/>
  <c r="P159" i="2"/>
  <c r="Q159" i="2"/>
  <c r="Q164" i="2"/>
  <c r="P164" i="2"/>
  <c r="Q169" i="2"/>
  <c r="P169" i="2"/>
  <c r="P11" i="2"/>
  <c r="Q11" i="2"/>
  <c r="P15" i="2"/>
  <c r="P25" i="2"/>
  <c r="Q25" i="2"/>
  <c r="Q54" i="2"/>
  <c r="P54" i="2"/>
  <c r="Q59" i="2"/>
  <c r="P59" i="2"/>
  <c r="Q69" i="2"/>
  <c r="P69" i="2"/>
  <c r="Q39" i="2"/>
  <c r="P39" i="2"/>
  <c r="P65" i="2"/>
  <c r="Q65" i="2"/>
  <c r="P80" i="2"/>
  <c r="Q80" i="2"/>
  <c r="Q152" i="2"/>
  <c r="P152" i="2"/>
  <c r="P44" i="2"/>
  <c r="Q49" i="2"/>
  <c r="P49" i="2"/>
  <c r="Q110" i="2"/>
  <c r="P110" i="2"/>
  <c r="Q121" i="2"/>
  <c r="P121" i="2"/>
  <c r="Q162" i="2"/>
  <c r="P162" i="2"/>
  <c r="P166" i="2"/>
  <c r="Q166" i="2"/>
  <c r="P34" i="2"/>
  <c r="Q64" i="2"/>
  <c r="P64" i="2"/>
  <c r="Q84" i="2"/>
  <c r="P84" i="2"/>
  <c r="P141" i="2"/>
  <c r="P122" i="2"/>
  <c r="Q122" i="2"/>
  <c r="P55" i="2"/>
  <c r="Q171" i="2"/>
  <c r="P171" i="2"/>
  <c r="P4" i="2"/>
  <c r="Q4" i="2"/>
  <c r="P22" i="2"/>
  <c r="Q97" i="2"/>
  <c r="P97" i="2"/>
  <c r="Q123" i="2"/>
  <c r="P123" i="2"/>
  <c r="Q138" i="2"/>
  <c r="P138" i="2"/>
  <c r="P62" i="2"/>
  <c r="P132" i="2"/>
  <c r="P137" i="2"/>
  <c r="P30" i="2"/>
  <c r="P47" i="2"/>
  <c r="P67" i="2"/>
  <c r="P100" i="2"/>
  <c r="P108" i="2"/>
  <c r="P115" i="2"/>
  <c r="P157" i="2"/>
  <c r="P12" i="2"/>
  <c r="P14" i="2"/>
  <c r="P31" i="2"/>
  <c r="Q40" i="2"/>
  <c r="P52" i="2"/>
  <c r="P72" i="2"/>
  <c r="P120" i="2"/>
  <c r="O7" i="2"/>
  <c r="Q92" i="2"/>
  <c r="Q105" i="2"/>
  <c r="P142" i="2"/>
  <c r="Q149" i="2"/>
  <c r="P144" i="2"/>
  <c r="P42" i="2"/>
  <c r="P75" i="2"/>
  <c r="P127" i="2"/>
  <c r="P2" i="2"/>
  <c r="Q9" i="2"/>
  <c r="P16" i="2"/>
  <c r="P23" i="2"/>
  <c r="P33" i="2"/>
  <c r="P50" i="2"/>
  <c r="Q57" i="2"/>
  <c r="P60" i="2"/>
  <c r="P70" i="2"/>
  <c r="P78" i="2"/>
  <c r="P85" i="2"/>
  <c r="Q87" i="2"/>
  <c r="P90" i="2"/>
  <c r="Q95" i="2"/>
  <c r="P103" i="2"/>
  <c r="P111" i="2"/>
  <c r="P118" i="2"/>
  <c r="P130" i="2"/>
  <c r="P135" i="2"/>
  <c r="P140" i="2"/>
  <c r="P147" i="2"/>
  <c r="P160" i="2"/>
  <c r="P167" i="2"/>
  <c r="P154" i="2"/>
  <c r="Q145" i="2" l="1"/>
  <c r="P134" i="2"/>
  <c r="P35" i="2"/>
  <c r="P27" i="2"/>
  <c r="P10" i="2"/>
  <c r="Q10" i="2"/>
  <c r="P53" i="2"/>
  <c r="Q45" i="2"/>
  <c r="Q53" i="2"/>
  <c r="Q141" i="2"/>
  <c r="O176" i="2"/>
  <c r="P176" i="2" s="1"/>
  <c r="Q55" i="2"/>
  <c r="Q114" i="2"/>
  <c r="P18" i="2"/>
  <c r="P163" i="2"/>
  <c r="P45" i="2"/>
  <c r="Q163" i="2"/>
  <c r="Q112" i="2"/>
  <c r="Q18" i="2"/>
  <c r="Q238" i="2"/>
  <c r="P238" i="2"/>
  <c r="Q7" i="2"/>
  <c r="P7" i="2"/>
  <c r="Q176" i="2" l="1"/>
</calcChain>
</file>

<file path=xl/sharedStrings.xml><?xml version="1.0" encoding="utf-8"?>
<sst xmlns="http://schemas.openxmlformats.org/spreadsheetml/2006/main" count="2670" uniqueCount="844">
  <si>
    <t>SUBCLASS</t>
  </si>
  <si>
    <t>SUBCLASS DESC</t>
  </si>
  <si>
    <t>SKU</t>
  </si>
  <si>
    <t>VEND ITEM #</t>
  </si>
  <si>
    <t>DESCRIPTION</t>
  </si>
  <si>
    <t>COMMENTS</t>
  </si>
  <si>
    <t>DAMSELS</t>
  </si>
  <si>
    <t>232-2603</t>
  </si>
  <si>
    <t>P. GREEN CHROMIS 0.75-1.5"</t>
  </si>
  <si>
    <t>201-1962</t>
  </si>
  <si>
    <t>P.YELLOW-TAIL BLUE DAMSEL</t>
  </si>
  <si>
    <t>TANGS</t>
  </si>
  <si>
    <t>253-5615</t>
  </si>
  <si>
    <t>P. BRISTLETOOTH TANG 2-3.5"</t>
  </si>
  <si>
    <t>211-2611</t>
  </si>
  <si>
    <t>P.BLUE DAMSEL</t>
  </si>
  <si>
    <t>232-5601</t>
  </si>
  <si>
    <t>P. SAILFIN TANG 2.5-3.5"</t>
  </si>
  <si>
    <t>BUTTERFLIES</t>
  </si>
  <si>
    <t>253-21093</t>
  </si>
  <si>
    <t>P. B&amp;W HENIOCHUS 2.5-4"</t>
  </si>
  <si>
    <t>253-5610</t>
  </si>
  <si>
    <t>P. SCOPAS TANG 2-3.5"</t>
  </si>
  <si>
    <t>SM ASSORTED MARINE FISH</t>
  </si>
  <si>
    <t>205-0302</t>
  </si>
  <si>
    <t>P.DISPAR ANTHIAS-FEMALE</t>
  </si>
  <si>
    <t>BASSLETS &amp; DOTTYBACKS</t>
  </si>
  <si>
    <t>211-25281</t>
  </si>
  <si>
    <t>P.STRAWBERRY DOTTYBACK</t>
  </si>
  <si>
    <t>BLENNIES &amp; GOBIES</t>
  </si>
  <si>
    <t>232-3601</t>
  </si>
  <si>
    <t>P. CITRUS GOBY 0.75-1"</t>
  </si>
  <si>
    <t>WRASSES</t>
  </si>
  <si>
    <t>253-7101</t>
  </si>
  <si>
    <t>P. LUNAR WRASSE 3-4"</t>
  </si>
  <si>
    <t>211-2605</t>
  </si>
  <si>
    <t>P.3-STRIPE DAMSEL</t>
  </si>
  <si>
    <t>211-2608</t>
  </si>
  <si>
    <t>P.DOMINO DAMSEL</t>
  </si>
  <si>
    <t>211-3602</t>
  </si>
  <si>
    <t>P.BI-COLOR BLENNY</t>
  </si>
  <si>
    <t>ANGELFISH</t>
  </si>
  <si>
    <t>253-0109</t>
  </si>
  <si>
    <t>P. EIBLI ANGEL 1.5-2.5"</t>
  </si>
  <si>
    <t>241-19235</t>
  </si>
  <si>
    <t>P.TALBOT'S DAMSEL 0.75-1.5"</t>
  </si>
  <si>
    <t>180-25573</t>
  </si>
  <si>
    <t>P.CATALINA GOBY</t>
  </si>
  <si>
    <t>211-3618</t>
  </si>
  <si>
    <t>P.DIAMOND GOBY</t>
  </si>
  <si>
    <t>TRIGGERS</t>
  </si>
  <si>
    <t>253-9307</t>
  </si>
  <si>
    <t>P. CLOWN TRIGGER 2-3.5"</t>
  </si>
  <si>
    <t>253-06173</t>
  </si>
  <si>
    <t>P.DIADEMA DOTTYBACK</t>
  </si>
  <si>
    <t>205-25053</t>
  </si>
  <si>
    <t>P.GREEN MANDARIN GOBY 1.5-2.5"</t>
  </si>
  <si>
    <t>211-56095</t>
  </si>
  <si>
    <t>P.BLOND NASO L</t>
  </si>
  <si>
    <t>232-0103</t>
  </si>
  <si>
    <t>P. LEMON PEEL ANGEL 2.5-4.5"</t>
  </si>
  <si>
    <t>253-0114</t>
  </si>
  <si>
    <t>P. SINGAPORE ANGEL 1.5-3"</t>
  </si>
  <si>
    <t>205-25055</t>
  </si>
  <si>
    <t>P.GREEN MANDARIN GOBY 2.5-4"</t>
  </si>
  <si>
    <t>205-25051</t>
  </si>
  <si>
    <t>P.GREEN MANDARIN GOBY0.75-1.5"</t>
  </si>
  <si>
    <t>LG ASSORTED MARINE FISH</t>
  </si>
  <si>
    <t>201-31855</t>
  </si>
  <si>
    <t>P.ANTENNATA LIONFISH-L</t>
  </si>
  <si>
    <t>253-9519</t>
  </si>
  <si>
    <t>P.LAWNMOWER BLENNY - L</t>
  </si>
  <si>
    <t>201-31853</t>
  </si>
  <si>
    <t>P.ANTENNATA LIONFISH-M</t>
  </si>
  <si>
    <t>211-56093</t>
  </si>
  <si>
    <t>P.BLOND NASO M</t>
  </si>
  <si>
    <t>232-8802</t>
  </si>
  <si>
    <t>P. VALENTINI PUFFER 1.5-2.5"</t>
  </si>
  <si>
    <t>205-0303</t>
  </si>
  <si>
    <t>P.DISPAR ANTHIAS-MALE</t>
  </si>
  <si>
    <t>253-9518</t>
  </si>
  <si>
    <t>P.LAWNMOWER BLENNY - M</t>
  </si>
  <si>
    <t>253-9517</t>
  </si>
  <si>
    <t>P.LAWNMOWER BLENNY - S</t>
  </si>
  <si>
    <t>211-56091</t>
  </si>
  <si>
    <t>P.BLOND NASO S</t>
  </si>
  <si>
    <t>211-56115</t>
  </si>
  <si>
    <t>P.BLUE HIPPO TANG L</t>
  </si>
  <si>
    <t>201-31851</t>
  </si>
  <si>
    <t>P.ANTENNATA LIONFISH-S</t>
  </si>
  <si>
    <t>201-25595</t>
  </si>
  <si>
    <t>P.MIDAS BLENNY-L</t>
  </si>
  <si>
    <t>253-7129</t>
  </si>
  <si>
    <t>P. SIX-LINE WRASSE 1-1.75"</t>
  </si>
  <si>
    <t>253-21243</t>
  </si>
  <si>
    <t>P. COPPERBAND B/F 2-4"</t>
  </si>
  <si>
    <t>201-25593</t>
  </si>
  <si>
    <t>P.MIDAS BLENNY-M</t>
  </si>
  <si>
    <t>205-43023</t>
  </si>
  <si>
    <t>P.BLUEJAW TRIGGER FEMALE 3.5"</t>
  </si>
  <si>
    <t>211-56113</t>
  </si>
  <si>
    <t>P.BLUE HIPPO TANG M</t>
  </si>
  <si>
    <t>211-56111</t>
  </si>
  <si>
    <t>P.BLUE HIPPO TANG S</t>
  </si>
  <si>
    <t>201-25591</t>
  </si>
  <si>
    <t>P.MIDAS BLENNY-S</t>
  </si>
  <si>
    <t>205-2507</t>
  </si>
  <si>
    <t>P.PANDA GOBY</t>
  </si>
  <si>
    <t>211-25393</t>
  </si>
  <si>
    <t>P.RAINFORD GOBY</t>
  </si>
  <si>
    <t>253-95233</t>
  </si>
  <si>
    <t>P.RANDALL'S GOBY</t>
  </si>
  <si>
    <t>205-43025</t>
  </si>
  <si>
    <t>P.BLUEJAW TRIGGER FEMALE 4.5"</t>
  </si>
  <si>
    <t>211-29035</t>
  </si>
  <si>
    <t>P.DOG FACE PUFFER-L</t>
  </si>
  <si>
    <t>205-43031</t>
  </si>
  <si>
    <t>P.BLUEJAW TRIGGER MALE 1-2.5"</t>
  </si>
  <si>
    <t>211-29033</t>
  </si>
  <si>
    <t>P.DOG FACE PUFFER-M</t>
  </si>
  <si>
    <t>205-25101</t>
  </si>
  <si>
    <t>P.RED SCOOTER BLENNY .75-1.25"</t>
  </si>
  <si>
    <t>205-43033</t>
  </si>
  <si>
    <t>P.BLUEJAW TRIGGER MALE 3.5"</t>
  </si>
  <si>
    <t>211-29031</t>
  </si>
  <si>
    <t>P.DOG FACE PUFFER-S</t>
  </si>
  <si>
    <t>211-56025</t>
  </si>
  <si>
    <t>P.CLOWN TANG L</t>
  </si>
  <si>
    <t>253-21063</t>
  </si>
  <si>
    <t>P. LONG NOSE BUTTERFLY 2.5-4"</t>
  </si>
  <si>
    <t>252-46085</t>
  </si>
  <si>
    <t>P.DWARF ZEBRA LIONFISH-L</t>
  </si>
  <si>
    <t>252-46083</t>
  </si>
  <si>
    <t>P.DWARF ZEBRA LIONFISH-M</t>
  </si>
  <si>
    <t>205-25103</t>
  </si>
  <si>
    <t>P.RED SCOOTER BLENNY 1.25-2.25</t>
  </si>
  <si>
    <t>232-0101</t>
  </si>
  <si>
    <t>P.BICOLOR ANGEL 1.5-2.5"</t>
  </si>
  <si>
    <t>211-58013</t>
  </si>
  <si>
    <t>P.CARPENTER'S FLASHER WRASSE</t>
  </si>
  <si>
    <t>252-46081</t>
  </si>
  <si>
    <t>P.DWARF ZEBRA LIONFISH-S</t>
  </si>
  <si>
    <t>211-56023</t>
  </si>
  <si>
    <t>P.CLOWN TANG M</t>
  </si>
  <si>
    <t>253-8506</t>
  </si>
  <si>
    <t>P. LNG NOSE HAWKFISH 1.25-2.75</t>
  </si>
  <si>
    <t>205-99041</t>
  </si>
  <si>
    <t>P.FOXFACE 2.5-3.5"</t>
  </si>
  <si>
    <t>211-56021</t>
  </si>
  <si>
    <t>P.CLOWN TANG S</t>
  </si>
  <si>
    <t>211-46115</t>
  </si>
  <si>
    <t>P.DRAGON WRASSE-L</t>
  </si>
  <si>
    <t>205-99043</t>
  </si>
  <si>
    <t>P.FOXFACE 3.5-4.5"</t>
  </si>
  <si>
    <t>211-01095</t>
  </si>
  <si>
    <t>P.BLUE RING ANGEL AD L</t>
  </si>
  <si>
    <t>205-99045</t>
  </si>
  <si>
    <t>P.FOXFACE 4.5-7"</t>
  </si>
  <si>
    <t>205-25105</t>
  </si>
  <si>
    <t>P.RED SCOOTER BLENNY 2.25-3.25</t>
  </si>
  <si>
    <t>211-46113</t>
  </si>
  <si>
    <t>P.DRAGON WRASSE-M</t>
  </si>
  <si>
    <t>252-36103</t>
  </si>
  <si>
    <t>P.BI-COLOR DOTTYBACK</t>
  </si>
  <si>
    <t>211-01093</t>
  </si>
  <si>
    <t>P.BLUE RING ANGEL AD M</t>
  </si>
  <si>
    <t>205-03041</t>
  </si>
  <si>
    <t>P.IGNITUS ANTHIAS-FML 0.75-1.5</t>
  </si>
  <si>
    <t>205-43035</t>
  </si>
  <si>
    <t>P.BLUEJAW TRIGGER MALE 4.5"</t>
  </si>
  <si>
    <t>217-56095</t>
  </si>
  <si>
    <t>P.NASO TANG - L</t>
  </si>
  <si>
    <t>241-6608</t>
  </si>
  <si>
    <t>P.HUMU PICASSO TRIGGER 2-3"</t>
  </si>
  <si>
    <t>211-01091</t>
  </si>
  <si>
    <t>P.BLUE RING ANGEL AD S</t>
  </si>
  <si>
    <t>205-99081</t>
  </si>
  <si>
    <t>P.MAGNIFICENT FOXFACE 2-3"</t>
  </si>
  <si>
    <t>211-25178</t>
  </si>
  <si>
    <t>P.SLEEPER GOLDHEAD GOBY</t>
  </si>
  <si>
    <t>217-56093</t>
  </si>
  <si>
    <t>P.NASO TANG - M</t>
  </si>
  <si>
    <t>217-56091</t>
  </si>
  <si>
    <t>P.NASO TANG - S</t>
  </si>
  <si>
    <t>205-03042</t>
  </si>
  <si>
    <t>P.IGNITUS ANTHIAS-FML 1.5-2.5"</t>
  </si>
  <si>
    <t>211-01085</t>
  </si>
  <si>
    <t>P.BLUE RING ANGEL JUV L</t>
  </si>
  <si>
    <t>211-01083</t>
  </si>
  <si>
    <t>P.BLUE RING ANGEL JUV M</t>
  </si>
  <si>
    <t>211-46111</t>
  </si>
  <si>
    <t>P.DRAGON WRASSE-S</t>
  </si>
  <si>
    <t>205-03043</t>
  </si>
  <si>
    <t>P.IGNITUS ANTHIAS-FML 2.5-3.5"</t>
  </si>
  <si>
    <t>205-39023</t>
  </si>
  <si>
    <t>P.ORANGESHOULDER TANG 2.5-3.5"</t>
  </si>
  <si>
    <t>205-99083</t>
  </si>
  <si>
    <t>P.MAGNIFICENT FOXFACE 3-5"</t>
  </si>
  <si>
    <t>205-99085</t>
  </si>
  <si>
    <t>P.MAGNIFICENT FOXFACE 5-7"</t>
  </si>
  <si>
    <t>205-45043</t>
  </si>
  <si>
    <t>P.EXQUISITE FAIRY WRASSE</t>
  </si>
  <si>
    <t>211-01081</t>
  </si>
  <si>
    <t>P.BLUE RING ANGEL JUV S</t>
  </si>
  <si>
    <t>211-66043</t>
  </si>
  <si>
    <t>P.ODONUS NIGER TRIGGER 2-3"</t>
  </si>
  <si>
    <t>205-23011</t>
  </si>
  <si>
    <t>P.MATTED FILEFISH 1.5-2"</t>
  </si>
  <si>
    <t>P.BLUEFACE ANGEL L</t>
  </si>
  <si>
    <t>Adult</t>
  </si>
  <si>
    <t>217-66015</t>
  </si>
  <si>
    <t>P.UNDULATED TRIGGER - L</t>
  </si>
  <si>
    <t>205-39024</t>
  </si>
  <si>
    <t>P.ORANGESHOULDER TANG 3.5-4.5"</t>
  </si>
  <si>
    <t>205-23012</t>
  </si>
  <si>
    <t>P.MATTED FILEFISH 2-3"</t>
  </si>
  <si>
    <t>211-45265</t>
  </si>
  <si>
    <t>P.GREEN BIRD WRASSE-L</t>
  </si>
  <si>
    <t>205-23014</t>
  </si>
  <si>
    <t>P.MATTED FILEFISH 3-4"</t>
  </si>
  <si>
    <t>252-46993</t>
  </si>
  <si>
    <t>P.RADIATA LIONFISH 3-5"</t>
  </si>
  <si>
    <t>205-39025</t>
  </si>
  <si>
    <t>P.ORANGESHOULDER TANG 4.5-5.5"</t>
  </si>
  <si>
    <t>211-56015</t>
  </si>
  <si>
    <t>P.POWDER BLUE L</t>
  </si>
  <si>
    <t>211-01063</t>
  </si>
  <si>
    <t>P.BLUEFACE ANGEL M</t>
  </si>
  <si>
    <t>253-21013</t>
  </si>
  <si>
    <t>P. SADDLEBACK B/F 2.5-4"</t>
  </si>
  <si>
    <t>211-01061</t>
  </si>
  <si>
    <t>P.BLUEFACE ANGEL S</t>
  </si>
  <si>
    <t>241-09201</t>
  </si>
  <si>
    <t>P.SILVER MONO 1-2"</t>
  </si>
  <si>
    <t>201-11345</t>
  </si>
  <si>
    <t>P.SPOTTED MANDARIN GOBY-L</t>
  </si>
  <si>
    <t>201-11343</t>
  </si>
  <si>
    <t>P.SPOTTED MANDARIN GOBY-M</t>
  </si>
  <si>
    <t>211-76015</t>
  </si>
  <si>
    <t>P.SNOWFLAKE EEL L</t>
  </si>
  <si>
    <t>232-0102</t>
  </si>
  <si>
    <t>P.CORAL BEAUTY ANGEL 1.5-2.5"</t>
  </si>
  <si>
    <t>211-01025</t>
  </si>
  <si>
    <t>P.CREAM ANGEL LG</t>
  </si>
  <si>
    <t>205-03051</t>
  </si>
  <si>
    <t>P.IGNITUS ANTHIAS-MALE 1.5-2.5</t>
  </si>
  <si>
    <t>205-03052</t>
  </si>
  <si>
    <t>P.IGNITUS ANTHIAS-MALE 2.5-3.5</t>
  </si>
  <si>
    <t>211-56013</t>
  </si>
  <si>
    <t>P.POWDER BLUE M</t>
  </si>
  <si>
    <t>211-56011</t>
  </si>
  <si>
    <t>P.POWDER BLUE S</t>
  </si>
  <si>
    <t>211-76013</t>
  </si>
  <si>
    <t>P.SNOWFLAKE EEL M</t>
  </si>
  <si>
    <t>241-5608</t>
  </si>
  <si>
    <t>P.POWDER BROWN TANG - L</t>
  </si>
  <si>
    <t>211-01023</t>
  </si>
  <si>
    <t>P.CREAM ANGEL MD</t>
  </si>
  <si>
    <t>217-66013</t>
  </si>
  <si>
    <t>P.UNDULATED TRIGGER - M</t>
  </si>
  <si>
    <t>211-01021</t>
  </si>
  <si>
    <t>P.CREAM ANGEL SM</t>
  </si>
  <si>
    <t>211-01115</t>
  </si>
  <si>
    <t>P.EMPEROR ANGEL - AD L</t>
  </si>
  <si>
    <t>211-01113</t>
  </si>
  <si>
    <t>P.EMPEROR ANGEL - AD M</t>
  </si>
  <si>
    <t>211-01111</t>
  </si>
  <si>
    <t>P.EMPEROR ANGEL - AD S</t>
  </si>
  <si>
    <t>205-03053</t>
  </si>
  <si>
    <t>P.IGNITUS ANTHIAS-MALE 3.5-4.5</t>
  </si>
  <si>
    <t>201-11341</t>
  </si>
  <si>
    <t>P.SPOTTED MANDARIN GOBY-S</t>
  </si>
  <si>
    <t>211-01105</t>
  </si>
  <si>
    <t>P.EMPEROR ANGEL - JUV L</t>
  </si>
  <si>
    <t>211-76011</t>
  </si>
  <si>
    <t>P.SNOWFLAKE EEL S</t>
  </si>
  <si>
    <t>241-5607</t>
  </si>
  <si>
    <t>P.POWDER BROWN TANG - M</t>
  </si>
  <si>
    <t>241-5606</t>
  </si>
  <si>
    <t>P.POWDER BROWN TANG - S</t>
  </si>
  <si>
    <t>211-76035</t>
  </si>
  <si>
    <t>P.TESSALATA EEL L</t>
  </si>
  <si>
    <t>216-5651</t>
  </si>
  <si>
    <t>P.VLAMINGII TANG - L</t>
  </si>
  <si>
    <t>211-01103</t>
  </si>
  <si>
    <t>P.EMPEROR ANGEL - JUV M</t>
  </si>
  <si>
    <t>211-01101</t>
  </si>
  <si>
    <t>P.EMPEROR ANGEL - JUV S</t>
  </si>
  <si>
    <t>216-5650</t>
  </si>
  <si>
    <t>P.VLAMINGII TANG - M</t>
  </si>
  <si>
    <t>211-45263</t>
  </si>
  <si>
    <t>P.GREEN BIRD WRASSE-M</t>
  </si>
  <si>
    <t>211-45261</t>
  </si>
  <si>
    <t>P.GREEN BIRD WRASSE-S</t>
  </si>
  <si>
    <t>211-06023</t>
  </si>
  <si>
    <t>P.LYRETAIL ANTHIAS - FEMALE</t>
  </si>
  <si>
    <t>216-5610</t>
  </si>
  <si>
    <t>P.VLAMINGII TANG - S</t>
  </si>
  <si>
    <t>211-76033</t>
  </si>
  <si>
    <t>P.TESSALATA EEL M</t>
  </si>
  <si>
    <t>211-06013</t>
  </si>
  <si>
    <t>P.LYRETAIL ANTHIAS - MALE</t>
  </si>
  <si>
    <t>205-0306</t>
  </si>
  <si>
    <t>P.SQUARE ANTHIAS-FEMALE</t>
  </si>
  <si>
    <t>201-56015</t>
  </si>
  <si>
    <t>P.YELLOW TANG L</t>
  </si>
  <si>
    <t>211-76031</t>
  </si>
  <si>
    <t>P.TESSALATA EEL S</t>
  </si>
  <si>
    <t>201-56013</t>
  </si>
  <si>
    <t>P.YELLOW TANG M</t>
  </si>
  <si>
    <t>201-56011</t>
  </si>
  <si>
    <t>P.YELLOW TANG S</t>
  </si>
  <si>
    <t>211-11075</t>
  </si>
  <si>
    <t>P.KLEIN'S BUTTERFLY-L</t>
  </si>
  <si>
    <t>205-01052</t>
  </si>
  <si>
    <t>P.MAJESTIC ANGEL 2.5-3.5"</t>
  </si>
  <si>
    <t>Juvenile</t>
  </si>
  <si>
    <t>205-0307</t>
  </si>
  <si>
    <t>P.SQUARE ANTHIAS-MALE</t>
  </si>
  <si>
    <t>211-11073</t>
  </si>
  <si>
    <t>P.KLEIN'S BUTTERFLY-M</t>
  </si>
  <si>
    <t>211-46075</t>
  </si>
  <si>
    <t>P.VOLITAN LION L</t>
  </si>
  <si>
    <t>211-11071</t>
  </si>
  <si>
    <t>P.KLEIN'S BUTTERFLY-S</t>
  </si>
  <si>
    <t>205-01053</t>
  </si>
  <si>
    <t>P.MAJESTIC ANGEL 3.5-4.5"</t>
  </si>
  <si>
    <t>205-01054</t>
  </si>
  <si>
    <t>P.MAJESTIC ANGEL 4.5-5.5"</t>
  </si>
  <si>
    <t>292-01065</t>
  </si>
  <si>
    <t>P.REGAL ANGEL-ADULT-L (INDO)</t>
  </si>
  <si>
    <t>217-66011</t>
  </si>
  <si>
    <t>P.UNDULATED TRIGGER - S</t>
  </si>
  <si>
    <t>111-36143</t>
  </si>
  <si>
    <t>P.RED CORIS WRASSE - ADULT - L</t>
  </si>
  <si>
    <t>211-46073</t>
  </si>
  <si>
    <t>P.VOLITAN LION M</t>
  </si>
  <si>
    <t>111-36142</t>
  </si>
  <si>
    <t>P.RED CORIS WRASSE - ADULT - M</t>
  </si>
  <si>
    <t>252-21063</t>
  </si>
  <si>
    <t>P.RACCOON BUTTERFLY 3-4"</t>
  </si>
  <si>
    <t>211-46071</t>
  </si>
  <si>
    <t>P.VOLITAN LION S</t>
  </si>
  <si>
    <t>211-56075</t>
  </si>
  <si>
    <t>P.YELLOW-EYE KOLE TANG - L</t>
  </si>
  <si>
    <t>211-56073</t>
  </si>
  <si>
    <t>P.YELLOW-EYE KOLE TANG - M</t>
  </si>
  <si>
    <t>111-36141</t>
  </si>
  <si>
    <t>P.RED CORIS WRASSE - ADULT - S</t>
  </si>
  <si>
    <t>211-71094</t>
  </si>
  <si>
    <t>P.RED CORIS WRASSE - JUV - L</t>
  </si>
  <si>
    <t>211-71093</t>
  </si>
  <si>
    <t>P.RED CORIS WRASSE - JUV - M</t>
  </si>
  <si>
    <t>211-71092</t>
  </si>
  <si>
    <t>P.RED CORIS WRASSE - JUV - S</t>
  </si>
  <si>
    <t>211-71063</t>
  </si>
  <si>
    <t>P.RED FAIRY WRASSE</t>
  </si>
  <si>
    <t>292-01063</t>
  </si>
  <si>
    <t>P.REGAL ANGEL-ADULT-M (INDO)</t>
  </si>
  <si>
    <t>292-01061</t>
  </si>
  <si>
    <t>P.REGAL ANGEL-ADULT-S (INDO)</t>
  </si>
  <si>
    <t>241-23213</t>
  </si>
  <si>
    <t>P.URCHIN CLINGFISH 1-2"</t>
  </si>
  <si>
    <t>211-56072</t>
  </si>
  <si>
    <t>P.YELLOW-EYE KOLE TANG - S</t>
  </si>
  <si>
    <t>Category</t>
  </si>
  <si>
    <t>Marine Fish</t>
  </si>
  <si>
    <t>CRUSTACEANS</t>
  </si>
  <si>
    <t>253-9225</t>
  </si>
  <si>
    <t>P. CAMEL SHRIMP .75-1.75"</t>
  </si>
  <si>
    <t>SNAILS</t>
  </si>
  <si>
    <t>200-1004</t>
  </si>
  <si>
    <t>P. TURBO SNAIL .75-2"</t>
  </si>
  <si>
    <t>200-1008</t>
  </si>
  <si>
    <t>P.MARGARITA SNAIL</t>
  </si>
  <si>
    <t>253-9224</t>
  </si>
  <si>
    <t>P. CORALBAND SHRIMP 1.25-1.75"</t>
  </si>
  <si>
    <t>200-1003</t>
  </si>
  <si>
    <t>P.NERITE SNAIL</t>
  </si>
  <si>
    <t>200-1001</t>
  </si>
  <si>
    <t>P.CERITH SNAIL</t>
  </si>
  <si>
    <t>P.NASSARIUS SNAIL</t>
  </si>
  <si>
    <t>253-9204</t>
  </si>
  <si>
    <t>P. DECORATOR CRAB 1.5-3"</t>
  </si>
  <si>
    <t>200-1010</t>
  </si>
  <si>
    <t>P.ARROW CRAB</t>
  </si>
  <si>
    <t>200-1009</t>
  </si>
  <si>
    <t>P.BLUE LEG HERMIT</t>
  </si>
  <si>
    <t>ASST INVERTS</t>
  </si>
  <si>
    <t>253-9103</t>
  </si>
  <si>
    <t>P. BLUE LINKIA STARFISH</t>
  </si>
  <si>
    <t>253-92265</t>
  </si>
  <si>
    <t>P.BLUE SPINY LOBSTER-L</t>
  </si>
  <si>
    <t>253-92263</t>
  </si>
  <si>
    <t>P.BLUE SPINY LOBSTER-M</t>
  </si>
  <si>
    <t>ANEMONES</t>
  </si>
  <si>
    <t>211-07034</t>
  </si>
  <si>
    <t>P.BUBBLE ANEMONE - L</t>
  </si>
  <si>
    <t>253-92261</t>
  </si>
  <si>
    <t>P.BLUE SPINY LOBSTER-S</t>
  </si>
  <si>
    <t>211-07033</t>
  </si>
  <si>
    <t>P.BUBBLE ANEMONE - M</t>
  </si>
  <si>
    <t>211-07032</t>
  </si>
  <si>
    <t>P.BUBBLE ANEMONE - S</t>
  </si>
  <si>
    <t>211-78015</t>
  </si>
  <si>
    <t>P.CLEANER SHRIMP L</t>
  </si>
  <si>
    <t>376-0504</t>
  </si>
  <si>
    <t>P.CARPET ANEMONE 6-10"</t>
  </si>
  <si>
    <t>241-27213</t>
  </si>
  <si>
    <t>P.BLACK LONGSPINE URCHIN 1-3"</t>
  </si>
  <si>
    <t>111-12000</t>
  </si>
  <si>
    <t>P.BLUE SEA FAN 4-8"</t>
  </si>
  <si>
    <t>211-78013</t>
  </si>
  <si>
    <t>P.CLEANER SHRIMP M</t>
  </si>
  <si>
    <t>241-7903</t>
  </si>
  <si>
    <t>P.CHOCOLATE CHIP STARFISH</t>
  </si>
  <si>
    <t>205-2703</t>
  </si>
  <si>
    <t>P.CONDYLACTIS ANEMONE-ATLANTIC</t>
  </si>
  <si>
    <t>211-78011</t>
  </si>
  <si>
    <t>P.CLEANER SHRIMP S</t>
  </si>
  <si>
    <t>205-1801</t>
  </si>
  <si>
    <t>P.EMERALD CRAB</t>
  </si>
  <si>
    <t>241-17230</t>
  </si>
  <si>
    <t>P.COCO WORM XXL 4-7"</t>
  </si>
  <si>
    <t>211-78025</t>
  </si>
  <si>
    <t>P.FIRE SHRIMP</t>
  </si>
  <si>
    <t>241-17220</t>
  </si>
  <si>
    <t>P.HARLEQUIN SHRIMP 1-2"</t>
  </si>
  <si>
    <t>241-8039</t>
  </si>
  <si>
    <t>P.FEATHER DUSTER</t>
  </si>
  <si>
    <t>376-0057</t>
  </si>
  <si>
    <t>P.MINI CARPET ANEMONE</t>
  </si>
  <si>
    <t>205-1802</t>
  </si>
  <si>
    <t>P.NEON STRIPE BLUE HERMIT</t>
  </si>
  <si>
    <t>205-1703</t>
  </si>
  <si>
    <t>P.PEPPERMINT SHRIMP</t>
  </si>
  <si>
    <t>241-17210</t>
  </si>
  <si>
    <t>P.PISTOL SHRIMP 1-2"</t>
  </si>
  <si>
    <t>352-80111</t>
  </si>
  <si>
    <t>P.ORANGE TUBE ANEMONE 2-3"</t>
  </si>
  <si>
    <t>253-9230</t>
  </si>
  <si>
    <t>P.PURPLE LOBSTER - L</t>
  </si>
  <si>
    <t>352-80113</t>
  </si>
  <si>
    <t>P.ORANGE TUBE ANEMONE 3-5"</t>
  </si>
  <si>
    <t>205-48024</t>
  </si>
  <si>
    <t>P.LONG SPINE URCHIN 2.5-5"</t>
  </si>
  <si>
    <t>205-2804</t>
  </si>
  <si>
    <t>P.BLACK STRIPE GIANT NASSARIUS</t>
  </si>
  <si>
    <t>205-48022</t>
  </si>
  <si>
    <t>P.LONGSPINE URCHIN 1.5-2.5"</t>
  </si>
  <si>
    <t>253-9229</t>
  </si>
  <si>
    <t>P.PURPLE LOBSTER - M</t>
  </si>
  <si>
    <t>253-9207</t>
  </si>
  <si>
    <t>P.PURPLE LOBSTER - S</t>
  </si>
  <si>
    <t>P.RED LEG HERMIT</t>
  </si>
  <si>
    <t>241-27227</t>
  </si>
  <si>
    <t>P.PRPL TIP SEBAE ANEMONE 2-3"</t>
  </si>
  <si>
    <t>205-4803</t>
  </si>
  <si>
    <t>P.PENCIL URCHIN</t>
  </si>
  <si>
    <t>111-12008</t>
  </si>
  <si>
    <t>P.RED SEA FAN 8-12"</t>
  </si>
  <si>
    <t>352-8012</t>
  </si>
  <si>
    <t>P.PURPLE TUBE ANEMONE 2-3"</t>
  </si>
  <si>
    <t>241-17231</t>
  </si>
  <si>
    <t>P.RED WHITE COCO WORM 3-5"</t>
  </si>
  <si>
    <t>241-7915</t>
  </si>
  <si>
    <t>P.SAND SIFTING STARFISH</t>
  </si>
  <si>
    <t>352-8008</t>
  </si>
  <si>
    <t>P.ROSE BUBBLE ANEMONE 5-6"</t>
  </si>
  <si>
    <t>180-25593</t>
  </si>
  <si>
    <t>P.STAGHORN HERMIT</t>
  </si>
  <si>
    <t>352-8009</t>
  </si>
  <si>
    <t>P.VIOLET SEBAE ANEMONE 2-3"</t>
  </si>
  <si>
    <t>241-80025</t>
  </si>
  <si>
    <t>P.WHITE SEBAE ANEMONE L</t>
  </si>
  <si>
    <t>241-80023</t>
  </si>
  <si>
    <t>P.WHITE SEBAE ANEMONE M</t>
  </si>
  <si>
    <t>241-80021</t>
  </si>
  <si>
    <t>P.WHITE SEBAE ANEMONE S</t>
  </si>
  <si>
    <t>352-8014</t>
  </si>
  <si>
    <t>P.WHITE TUBE ANEMONE 2-3"</t>
  </si>
  <si>
    <t>205-49023</t>
  </si>
  <si>
    <t>P.SEA HARE</t>
  </si>
  <si>
    <t>Marine Inverts</t>
  </si>
  <si>
    <t>AMPH/CRUST/SNAIL</t>
  </si>
  <si>
    <t>147-387015</t>
  </si>
  <si>
    <t>P.AMANO SHRIMP 1.25"</t>
  </si>
  <si>
    <t>147-90177</t>
  </si>
  <si>
    <t>P.CHERRY SHRIMP 0.5-1"</t>
  </si>
  <si>
    <t>147-90167</t>
  </si>
  <si>
    <t>P.ORANGE BEE SHRIMP 0.5-1"</t>
  </si>
  <si>
    <t>147-90183</t>
  </si>
  <si>
    <t>P.RED &amp; WHITE SHRIMP 0.5-1"</t>
  </si>
  <si>
    <t>Freshwater Inverts</t>
  </si>
  <si>
    <t>GUPPIES</t>
  </si>
  <si>
    <t>P.FEMALE GUPPY L - ASST.</t>
  </si>
  <si>
    <t>BETTA</t>
  </si>
  <si>
    <t>P.MALE BETTA - XL</t>
  </si>
  <si>
    <t>P.BLUE MALE VEILTAIL BETTA</t>
  </si>
  <si>
    <t>P.MALE GUPPY L - ASST.</t>
  </si>
  <si>
    <t>P.RED MALE VEILTAIL BETTA 1.75</t>
  </si>
  <si>
    <t>FANCY BETTA</t>
  </si>
  <si>
    <t>P.CROWNTAIL BETTAS - XL</t>
  </si>
  <si>
    <t>TETRAS</t>
  </si>
  <si>
    <t>P.NEON TETRA LG</t>
  </si>
  <si>
    <t>P.CAMBODIAN VEILTAIL BETTA M</t>
  </si>
  <si>
    <t>P.BLUE NEON GUPPY - XL</t>
  </si>
  <si>
    <t>P.GREEN MALE VEILTAIL BETTA</t>
  </si>
  <si>
    <t>P.GREEN MALE CROWNTAIL BETTA</t>
  </si>
  <si>
    <t>P.RED MALE CROWNTAIL BETTA</t>
  </si>
  <si>
    <t>111-36186</t>
  </si>
  <si>
    <t>P.SUNRISE GUPPY - XL</t>
  </si>
  <si>
    <t>P.BLUE MALE CROWNTAIL BETTA</t>
  </si>
  <si>
    <t>111-71145</t>
  </si>
  <si>
    <t>P.24KT GOLD WHITE CLOUD MINNOW</t>
  </si>
  <si>
    <t>SWORDTAILS</t>
  </si>
  <si>
    <t>161-66044</t>
  </si>
  <si>
    <t>P.RED WAG SWORDTAIL 2"</t>
  </si>
  <si>
    <t>P.LYRETAIL GUPPY</t>
  </si>
  <si>
    <t>161-46013</t>
  </si>
  <si>
    <t>P.ASSORTED PLATY 1"</t>
  </si>
  <si>
    <t>P.RED BLONDE GUPPY - XL</t>
  </si>
  <si>
    <t>111-66144</t>
  </si>
  <si>
    <t>P.TWINBAR SOLAR FLARE SWORDTAI</t>
  </si>
  <si>
    <t>P.FEMALE CROWNTAIL BETTAS - XL</t>
  </si>
  <si>
    <t>P.FEMALE BETTA - XL</t>
  </si>
  <si>
    <t>P.GREEN FEMALE VEILTAIL BETTA</t>
  </si>
  <si>
    <t>111-36156</t>
  </si>
  <si>
    <t>P.YELLOW GUPPY - XL</t>
  </si>
  <si>
    <t>GOURAMIS</t>
  </si>
  <si>
    <t>P.DWARF GOURAMI 1.5"</t>
  </si>
  <si>
    <t>CATFISH, SHARKS &amp; LOACHES</t>
  </si>
  <si>
    <t>P.RAINBOW SHARK 2"</t>
  </si>
  <si>
    <t>P.BLUE FEMALE VEILTAIL BETTA</t>
  </si>
  <si>
    <t>P.BLUE FEMALE CROWNTAIL BETTA</t>
  </si>
  <si>
    <t>P.BLUE GOURAMI 2"</t>
  </si>
  <si>
    <t>P.RED FEMALE CROWNTAIL BETTA</t>
  </si>
  <si>
    <t>P.DOUBLETAIL HALFMOON BETTA M</t>
  </si>
  <si>
    <t>P.GREEN TIGER BARB L</t>
  </si>
  <si>
    <t>111-06255</t>
  </si>
  <si>
    <t>P.ROSELINE SHARK 2-2.5"</t>
  </si>
  <si>
    <t>161-06025</t>
  </si>
  <si>
    <t>P.TIGER BARB L</t>
  </si>
  <si>
    <t>P.RED FEMALE VEILTAIL BETTA</t>
  </si>
  <si>
    <t>P.HALFMOON BETTA MALE - XL</t>
  </si>
  <si>
    <t>P.CAMBODIAN CROWNTAIL BETTA M</t>
  </si>
  <si>
    <t>CICHLIDS</t>
  </si>
  <si>
    <t>147-08413</t>
  </si>
  <si>
    <t>P.ALBINO PEACOCK CICHLID MD</t>
  </si>
  <si>
    <t>161-66014</t>
  </si>
  <si>
    <t>P.ASSORTED SWORDTAIL 2"</t>
  </si>
  <si>
    <t>P.PLAKAT HALFMOON BETTA MALE</t>
  </si>
  <si>
    <t>P.GREEN FEMALE CROWNTAIL BETTA</t>
  </si>
  <si>
    <t>P.PEARL GOURAMI MD</t>
  </si>
  <si>
    <t>P.KING BETTA MALE 2.5-3.5"</t>
  </si>
  <si>
    <t>161-51063</t>
  </si>
  <si>
    <t>P. ALBINO CORY .75-1.5"</t>
  </si>
  <si>
    <t>P.FIREMOUTH CICHLID MD</t>
  </si>
  <si>
    <t>P.PLAKAT DOUBLETAIL HALFMOON M</t>
  </si>
  <si>
    <t>147-08411</t>
  </si>
  <si>
    <t>P.ALBINO PEACOCK CICHLID SM</t>
  </si>
  <si>
    <t>P.DELTATAIL BETTA MALE - XL</t>
  </si>
  <si>
    <t>P.ELEPHANT EAR HALFMOON PLAKAT</t>
  </si>
  <si>
    <t>P.DOUBLETAIL BETTA MALE 2.25"</t>
  </si>
  <si>
    <t>P.PLECOSTOMUS 3"</t>
  </si>
  <si>
    <t>173-16039</t>
  </si>
  <si>
    <t>P.ALBINO OSCAR 2"</t>
  </si>
  <si>
    <t>173-61058</t>
  </si>
  <si>
    <t>P.ALBINO RAINBOW SHARK 2"</t>
  </si>
  <si>
    <t>161-06035</t>
  </si>
  <si>
    <t>P.ALBINO TIGER BARB L</t>
  </si>
  <si>
    <t>P.BALA SHARK 2"</t>
  </si>
  <si>
    <t>P.ELEPHANT EAR DELTA TAIL BETT</t>
  </si>
  <si>
    <t>P.JACK DEMPSEY 2"</t>
  </si>
  <si>
    <t>P.KING HALFMOON BETTA MALE 3.5</t>
  </si>
  <si>
    <t>P.PEARL GOURAMI SM</t>
  </si>
  <si>
    <t>P.RED DEVIL 2"</t>
  </si>
  <si>
    <t>173-16019</t>
  </si>
  <si>
    <t>P.RED OSCAR 2"</t>
  </si>
  <si>
    <t>161-66034</t>
  </si>
  <si>
    <t>P.RED SWORDTAIL 2"</t>
  </si>
  <si>
    <t>173-61038</t>
  </si>
  <si>
    <t>P.RED TAIL SHARK 2"</t>
  </si>
  <si>
    <t>173-16029</t>
  </si>
  <si>
    <t>P.TIGER OSCAR 2"</t>
  </si>
  <si>
    <t>P.BABY BETTA</t>
  </si>
  <si>
    <t>P.ELEPHANT EAR HALFMOON BETTA</t>
  </si>
  <si>
    <t>Freshwater Fish</t>
  </si>
  <si>
    <t>LIVE AQUARIA RETAIL</t>
  </si>
  <si>
    <t>SDC WHOLESALE</t>
  </si>
  <si>
    <t>SUGGESTED RETAIL</t>
  </si>
  <si>
    <t>SUGGESTED WHOLESALE</t>
  </si>
  <si>
    <t>COMPETITOR MARKUP</t>
  </si>
  <si>
    <t>WHOLESALE CHANGE</t>
  </si>
  <si>
    <t>COST</t>
  </si>
  <si>
    <t>SOLD (UN)</t>
  </si>
  <si>
    <t>SALES ($)</t>
  </si>
  <si>
    <t>SIZE</t>
  </si>
  <si>
    <t>2.5-4</t>
  </si>
  <si>
    <t>2-3.5</t>
  </si>
  <si>
    <t>0.75-1</t>
  </si>
  <si>
    <t>2-4</t>
  </si>
  <si>
    <t>1.5 - 2.5</t>
  </si>
  <si>
    <t>0.75-1.5</t>
  </si>
  <si>
    <t>2.5 - 4.5</t>
  </si>
  <si>
    <t>1.25-1.75</t>
  </si>
  <si>
    <t>3-4</t>
  </si>
  <si>
    <t>2.5-3.5</t>
  </si>
  <si>
    <t>253-9535</t>
  </si>
  <si>
    <t>P. SCOOTER BLENNY 2-3"</t>
  </si>
  <si>
    <t>2-3</t>
  </si>
  <si>
    <t>1-1.75</t>
  </si>
  <si>
    <t>1.5-2.5</t>
  </si>
  <si>
    <t>5-8</t>
  </si>
  <si>
    <t>3-5</t>
  </si>
  <si>
    <t>1.5-3</t>
  </si>
  <si>
    <t>1-2.5</t>
  </si>
  <si>
    <t>5-7</t>
  </si>
  <si>
    <t>3.5-5</t>
  </si>
  <si>
    <t>4.5-6.5</t>
  </si>
  <si>
    <t>3.5-4.5</t>
  </si>
  <si>
    <t>2.5-3</t>
  </si>
  <si>
    <t>1.75-2</t>
  </si>
  <si>
    <t>4-6</t>
  </si>
  <si>
    <t>3.5-4.75</t>
  </si>
  <si>
    <t>2.25-3.5</t>
  </si>
  <si>
    <t>1.25-2.25</t>
  </si>
  <si>
    <t>1.5-3.5</t>
  </si>
  <si>
    <t>1-1.5</t>
  </si>
  <si>
    <t>5 - 7</t>
  </si>
  <si>
    <t>3.5 - 5</t>
  </si>
  <si>
    <t>2.5 - 3.5</t>
  </si>
  <si>
    <t>2.5-3.25</t>
  </si>
  <si>
    <t>1.75-2.5</t>
  </si>
  <si>
    <t>4.5-7</t>
  </si>
  <si>
    <t>1-2</t>
  </si>
  <si>
    <t>4.5-5.5</t>
  </si>
  <si>
    <t>1.5-2</t>
  </si>
  <si>
    <t>6-8</t>
  </si>
  <si>
    <t>3-6</t>
  </si>
  <si>
    <t>0.5-1.5</t>
  </si>
  <si>
    <t>1.75-2.25</t>
  </si>
  <si>
    <t>0.75-1.25</t>
  </si>
  <si>
    <t>2.25-3.25</t>
  </si>
  <si>
    <t>2 - 3.5</t>
  </si>
  <si>
    <t>10+</t>
  </si>
  <si>
    <t>7-10</t>
  </si>
  <si>
    <t>3.5-5.5</t>
  </si>
  <si>
    <t>2.5-4.5</t>
  </si>
  <si>
    <t>15+</t>
  </si>
  <si>
    <t>10-15</t>
  </si>
  <si>
    <t>8-10</t>
  </si>
  <si>
    <t>4.5-6</t>
  </si>
  <si>
    <t>3-4.5</t>
  </si>
  <si>
    <t>3.5-6</t>
  </si>
  <si>
    <t>1-3</t>
  </si>
  <si>
    <t>0.75-2</t>
  </si>
  <si>
    <t>0.5-1</t>
  </si>
  <si>
    <t>0.25-1</t>
  </si>
  <si>
    <t>4-8</t>
  </si>
  <si>
    <t xml:space="preserve">  </t>
  </si>
  <si>
    <t>411-1001</t>
  </si>
  <si>
    <t>P.CALUERPA</t>
  </si>
  <si>
    <t>6-10</t>
  </si>
  <si>
    <t>.5-1</t>
  </si>
  <si>
    <t>4-7</t>
  </si>
  <si>
    <t>0.75-1.75</t>
  </si>
  <si>
    <t>2.5-5</t>
  </si>
  <si>
    <t>2-6</t>
  </si>
  <si>
    <t>0.25-0.5</t>
  </si>
  <si>
    <t>1-2.25</t>
  </si>
  <si>
    <t>8-12</t>
  </si>
  <si>
    <t>5-6</t>
  </si>
  <si>
    <t>.75-1.5</t>
  </si>
  <si>
    <t>M</t>
  </si>
  <si>
    <t>T</t>
  </si>
  <si>
    <t>W</t>
  </si>
  <si>
    <t>TH</t>
  </si>
  <si>
    <t>F</t>
  </si>
  <si>
    <t>SA</t>
  </si>
  <si>
    <t>SU</t>
  </si>
  <si>
    <t>P.LONG FIN FAIRY WRASSE</t>
  </si>
  <si>
    <t>847-0414155</t>
  </si>
  <si>
    <t>P.PARADISE BETTA</t>
  </si>
  <si>
    <t>CURRENT INVENTORY</t>
  </si>
  <si>
    <t>52 WEEKS ORDERS</t>
  </si>
  <si>
    <t>WEEKLY AVERAGE ORDER</t>
  </si>
  <si>
    <t>STATUS</t>
  </si>
  <si>
    <t>LIVE</t>
  </si>
  <si>
    <t>INVENTORY GOAL</t>
  </si>
  <si>
    <t>P.KOHAKU SWORDTAIL</t>
  </si>
  <si>
    <t>P.SANSHOKU KOI SWORDTAIL</t>
  </si>
  <si>
    <t>P.KOI BETTA</t>
  </si>
  <si>
    <t>119-661116</t>
  </si>
  <si>
    <t>147-261419</t>
  </si>
  <si>
    <t>147-901155</t>
  </si>
  <si>
    <t>SCIENTIFIC NAME</t>
  </si>
  <si>
    <t>Hypostomus plecostomus</t>
  </si>
  <si>
    <t>Paracheirodon innesi</t>
  </si>
  <si>
    <t>Poecilia reticulata</t>
  </si>
  <si>
    <t>Betta splendens</t>
  </si>
  <si>
    <t>Xiphophorus maculatus</t>
  </si>
  <si>
    <t>Puntius tetrazona</t>
  </si>
  <si>
    <t>Tanichthys albonubes</t>
  </si>
  <si>
    <t>Aulonocara sp.</t>
  </si>
  <si>
    <t>Xiphophorus helleri</t>
  </si>
  <si>
    <t>Astronotus ocellatus</t>
  </si>
  <si>
    <t>Balantiocheilus melanopterus</t>
  </si>
  <si>
    <t>Epalzeorhynchos frenatus</t>
  </si>
  <si>
    <t>Thorichthys meeki</t>
  </si>
  <si>
    <t>Nandopsis octofasciatum</t>
  </si>
  <si>
    <t>Amphilophus labiatus</t>
  </si>
  <si>
    <t>Sahyadria denisonii</t>
  </si>
  <si>
    <t>Trichogaster trichopterus</t>
  </si>
  <si>
    <t>Colisa lalia</t>
  </si>
  <si>
    <t>Trichogaster leeri</t>
  </si>
  <si>
    <t>Epalzeorhynchos bicolor</t>
  </si>
  <si>
    <t>Corydoras aeneus</t>
  </si>
  <si>
    <t>Caridina japonica</t>
  </si>
  <si>
    <t>Neocaridina sp.</t>
  </si>
  <si>
    <t>Caridina sp.</t>
  </si>
  <si>
    <t>Balistapus undulatus</t>
  </si>
  <si>
    <t>Pseudanthias squamipinnis</t>
  </si>
  <si>
    <t>Cirrhilabrus rubriventralis</t>
  </si>
  <si>
    <t>Acanthurus leucosternon</t>
  </si>
  <si>
    <t>Echidna nebulosa</t>
  </si>
  <si>
    <t>Pomacanthus annularis</t>
  </si>
  <si>
    <t>Pomacanthus imperator</t>
  </si>
  <si>
    <t>Naso lituratus</t>
  </si>
  <si>
    <t>Acanthurus lineatus</t>
  </si>
  <si>
    <t>Paracanthurus hepatus</t>
  </si>
  <si>
    <t>Rhinecanthus aculeatus</t>
  </si>
  <si>
    <t>Chaetodon rostratus</t>
  </si>
  <si>
    <t>Dascyllus trimaculatus</t>
  </si>
  <si>
    <t>Chrysiptera cyanea</t>
  </si>
  <si>
    <t>Paracheilinus carpenteri</t>
  </si>
  <si>
    <t>Pseudanthias ignitus</t>
  </si>
  <si>
    <t>Novaculichthys taeniourus</t>
  </si>
  <si>
    <t>Pomacanthus navarchus</t>
  </si>
  <si>
    <t>Centropyge eibli</t>
  </si>
  <si>
    <t>Acreichthys tomentosus</t>
  </si>
  <si>
    <t>Pomacanthus xanthometopon</t>
  </si>
  <si>
    <t>Arothron nigropunctatus</t>
  </si>
  <si>
    <t>Siganus magnifica</t>
  </si>
  <si>
    <t>Synchiropus stellatus</t>
  </si>
  <si>
    <t>Cirrhilabrus exquisitus</t>
  </si>
  <si>
    <t>Naso elegans</t>
  </si>
  <si>
    <t>Pseudanthias dispar</t>
  </si>
  <si>
    <t>Chaetodon kleini</t>
  </si>
  <si>
    <t>Ctenochaetus strigosus</t>
  </si>
  <si>
    <t>Chrysiptera parasema</t>
  </si>
  <si>
    <t>Thalassoma lunare</t>
  </si>
  <si>
    <t>Odonus niger</t>
  </si>
  <si>
    <t>Acanthurus japonicus</t>
  </si>
  <si>
    <t>Chaetodon ephippium</t>
  </si>
  <si>
    <t>Forcipiger flavissimus</t>
  </si>
  <si>
    <t>Naso vlamingii</t>
  </si>
  <si>
    <t>Pseudanthias pleurotaenia</t>
  </si>
  <si>
    <t>Oxycirrhites typus</t>
  </si>
  <si>
    <t>Centropyge flavissimus</t>
  </si>
  <si>
    <t>Amblygobius rainfordi</t>
  </si>
  <si>
    <t>Synchiropus splendidus</t>
  </si>
  <si>
    <t>Zebrasoma veliferum</t>
  </si>
  <si>
    <t>Centropyge bispinosus</t>
  </si>
  <si>
    <t>Centropyge bicolor</t>
  </si>
  <si>
    <t>Canthigaster valentini</t>
  </si>
  <si>
    <t>Zebrasoma scopas</t>
  </si>
  <si>
    <t>Balistoides conspicillum</t>
  </si>
  <si>
    <t>Pseudochromis porphyreus</t>
  </si>
  <si>
    <t>Dendrochirus zebra</t>
  </si>
  <si>
    <t>Chaetodontoplus mesoleucus</t>
  </si>
  <si>
    <t>Heniochus acuminatus</t>
  </si>
  <si>
    <t>Clibanarius tricolor</t>
  </si>
  <si>
    <t>Margarites pupillus</t>
  </si>
  <si>
    <t>Lysmata amboinensis</t>
  </si>
  <si>
    <t>Clibanarius diguetti</t>
  </si>
  <si>
    <t>Nassarius sp.</t>
  </si>
  <si>
    <t>Sabellastarte sp.</t>
  </si>
  <si>
    <t>Nerita sp.</t>
  </si>
  <si>
    <t>Cerithium sp.</t>
  </si>
  <si>
    <t>Aplysia sp.</t>
  </si>
  <si>
    <t>Stichodactyla sp.</t>
  </si>
  <si>
    <t>Hymenocera elegans</t>
  </si>
  <si>
    <t>Rhynchocinetes durbanensis</t>
  </si>
  <si>
    <t>Enoplometopus debelius</t>
  </si>
  <si>
    <t>Panulirus vesicolor</t>
  </si>
  <si>
    <t>Mithraculus sculptus</t>
  </si>
  <si>
    <t>Turbo fluctuosa</t>
  </si>
  <si>
    <t>Apolemichthys xanthurus</t>
  </si>
  <si>
    <t>Pygoplites diacanthus</t>
  </si>
  <si>
    <t>Pictichromis paccagnellae</t>
  </si>
  <si>
    <t>Pseudochromis diadema</t>
  </si>
  <si>
    <t>Gobiodon citrinus</t>
  </si>
  <si>
    <t>Ecsenius bicolor</t>
  </si>
  <si>
    <t>Lythrypnus dalli</t>
  </si>
  <si>
    <t>Valenciennea puellaris</t>
  </si>
  <si>
    <t>Salarias fasciatus</t>
  </si>
  <si>
    <t>Ecsenius midas</t>
  </si>
  <si>
    <t>Paragobius lacunicolus</t>
  </si>
  <si>
    <t>Amblyeleotris randalli</t>
  </si>
  <si>
    <t>Valenciennea strigata</t>
  </si>
  <si>
    <t>Synchiropus picturatus</t>
  </si>
  <si>
    <t>Chaetodon lunula</t>
  </si>
  <si>
    <t>Chromis viridis</t>
  </si>
  <si>
    <t>Dascyllus aruanus</t>
  </si>
  <si>
    <t>Chrysiptera talboti</t>
  </si>
  <si>
    <t>Pterois antennata</t>
  </si>
  <si>
    <t>Siganus vulpinus</t>
  </si>
  <si>
    <t>Pterois radiata</t>
  </si>
  <si>
    <t>Monodactylus argenteus</t>
  </si>
  <si>
    <t>Gymnothorax favagineus</t>
  </si>
  <si>
    <t>Pterois volitans</t>
  </si>
  <si>
    <t>Diademichthys lineatus</t>
  </si>
  <si>
    <t>Ctenochaetus tominiensis</t>
  </si>
  <si>
    <t>Acanthurus olivaceus</t>
  </si>
  <si>
    <t>Zebrasoma flavescens</t>
  </si>
  <si>
    <t>Xanthichthys auromarginatus</t>
  </si>
  <si>
    <t>Pseudocheilinus hexataenia</t>
  </si>
  <si>
    <t>Gomphosus varius</t>
  </si>
  <si>
    <t>Coris gaimard</t>
  </si>
  <si>
    <t>Entacmaea quadricolor</t>
  </si>
  <si>
    <t>Condylactis gigantea</t>
  </si>
  <si>
    <t>Heteractis crispa</t>
  </si>
  <si>
    <t>Ceriathus sp.</t>
  </si>
  <si>
    <t>Linckia laevigata</t>
  </si>
  <si>
    <t>Diadema setosum</t>
  </si>
  <si>
    <t>Gorgonia sp.</t>
  </si>
  <si>
    <t>Protoreaster nodosus</t>
  </si>
  <si>
    <t>Protula bispiralis</t>
  </si>
  <si>
    <t>Eucidaris tribuloides</t>
  </si>
  <si>
    <t>Astropecten polycanthus</t>
  </si>
  <si>
    <t>Stenopus hispidus</t>
  </si>
  <si>
    <t>Camposcia retusa</t>
  </si>
  <si>
    <t>Stenorhynchus seticornis</t>
  </si>
  <si>
    <t>Lysmata debelius</t>
  </si>
  <si>
    <t>Calcinus elegans</t>
  </si>
  <si>
    <t>Lysmata wurdemanni</t>
  </si>
  <si>
    <t>Alpheus sp.</t>
  </si>
  <si>
    <t>Manucomplanus varians</t>
  </si>
  <si>
    <t>1.25-2</t>
  </si>
  <si>
    <t>1-2"</t>
  </si>
  <si>
    <t>3-3.5</t>
  </si>
  <si>
    <t>SIZE (IN)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</si>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</sst>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2CE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Fill="1" applyBorder="1" applyAlignment="1">
      <alignment horizontal="left"/>
    </xf>
    <xf numFmtId="0" fontId="0" fillId="0" borderId="0" xfId="0" applyBorder="1"/>
    <xf numFmtId="2" fontId="0" fillId="0" borderId="1" xfId="0" applyNumberFormat="1" applyFill="1" applyBorder="1"/>
    <xf numFmtId="2" fontId="0" fillId="7" borderId="1" xfId="0" applyNumberFormat="1" applyFill="1" applyBorder="1"/>
    <xf numFmtId="0" fontId="0" fillId="0" borderId="0" xfId="0" applyFill="1" applyBorder="1"/>
    <xf numFmtId="2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4" fontId="0" fillId="0" borderId="0" xfId="0" applyNumberFormat="1" applyFill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7" borderId="1" xfId="0" applyFill="1" applyBorder="1"/>
    <xf numFmtId="3" fontId="0" fillId="0" borderId="0" xfId="0" applyNumberFormat="1" applyFill="1" applyAlignment="1">
      <alignment horizontal="left"/>
    </xf>
    <xf numFmtId="49" fontId="0" fillId="0" borderId="1" xfId="0" applyNumberForma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2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t/AppData/Local/Microsoft/Windows/Temporary%20Internet%20Files/Content.Outlook/UH09E7UU/Live%20Assortment%20back%20on%20site%2011-3-1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DESCRIPTION</v>
          </cell>
          <cell r="B1" t="str">
            <v>SUBCLASS</v>
          </cell>
          <cell r="C1" t="str">
            <v>SUBCLASS DESC</v>
          </cell>
          <cell r="D1" t="str">
            <v>SKU</v>
          </cell>
          <cell r="E1" t="str">
            <v>VEND ITEM #</v>
          </cell>
          <cell r="F1" t="str">
            <v>COMMENTS</v>
          </cell>
          <cell r="G1" t="str">
            <v>Category</v>
          </cell>
        </row>
        <row r="2">
          <cell r="A2" t="str">
            <v>P. ALBINO CORY .75-1.5"</v>
          </cell>
          <cell r="B2">
            <v>84499</v>
          </cell>
          <cell r="C2" t="str">
            <v>CATFISH, SHARKS &amp; LOACHES</v>
          </cell>
          <cell r="D2">
            <v>1136763</v>
          </cell>
          <cell r="E2" t="str">
            <v>161-51063</v>
          </cell>
          <cell r="G2" t="str">
            <v>Freshwater Fish</v>
          </cell>
        </row>
        <row r="3">
          <cell r="A3" t="str">
            <v>P. B&amp;W HENIOCHUS 2.5-4"</v>
          </cell>
          <cell r="B3">
            <v>85402</v>
          </cell>
          <cell r="C3" t="str">
            <v>BUTTERFLIES</v>
          </cell>
          <cell r="D3">
            <v>1136836</v>
          </cell>
          <cell r="E3" t="str">
            <v>253-21093</v>
          </cell>
          <cell r="G3" t="str">
            <v>Marine Fish</v>
          </cell>
        </row>
        <row r="4">
          <cell r="A4" t="str">
            <v>P. BLUE LINKIA STARFISH</v>
          </cell>
          <cell r="B4">
            <v>85709</v>
          </cell>
          <cell r="C4" t="str">
            <v>ASST INVERTS</v>
          </cell>
          <cell r="D4">
            <v>1136917</v>
          </cell>
          <cell r="E4" t="str">
            <v>253-9103</v>
          </cell>
          <cell r="G4" t="str">
            <v>Marine Inverts</v>
          </cell>
        </row>
        <row r="5">
          <cell r="A5" t="str">
            <v>P. BRISTLETOOTH TANG 2-3.5"</v>
          </cell>
          <cell r="B5">
            <v>85300</v>
          </cell>
          <cell r="C5" t="str">
            <v>TANGS</v>
          </cell>
          <cell r="D5">
            <v>1137042</v>
          </cell>
          <cell r="E5" t="str">
            <v>253-5615</v>
          </cell>
          <cell r="G5" t="str">
            <v>Marine Fish</v>
          </cell>
        </row>
        <row r="6">
          <cell r="A6" t="str">
            <v>P. CAMEL SHRIMP .75-1.75"</v>
          </cell>
          <cell r="B6">
            <v>85706</v>
          </cell>
          <cell r="C6" t="str">
            <v>CRUSTACEANS</v>
          </cell>
          <cell r="D6">
            <v>1136925</v>
          </cell>
          <cell r="E6" t="str">
            <v>253-9225</v>
          </cell>
          <cell r="G6" t="str">
            <v>Marine Inverts</v>
          </cell>
        </row>
        <row r="7">
          <cell r="A7" t="str">
            <v>P. CITRUS GOBY 0.75-1"</v>
          </cell>
          <cell r="B7">
            <v>85503</v>
          </cell>
          <cell r="C7" t="str">
            <v>BLENNIES &amp; GOBIES</v>
          </cell>
          <cell r="D7">
            <v>1054651</v>
          </cell>
          <cell r="E7" t="str">
            <v>232-3601</v>
          </cell>
          <cell r="G7" t="str">
            <v>Marine Fish</v>
          </cell>
        </row>
        <row r="8">
          <cell r="A8" t="str">
            <v>P. CLOWN TRIGGER 2-3.5"</v>
          </cell>
          <cell r="B8">
            <v>85601</v>
          </cell>
          <cell r="C8" t="str">
            <v>TRIGGERS</v>
          </cell>
          <cell r="D8">
            <v>1136984</v>
          </cell>
          <cell r="E8" t="str">
            <v>253-9307</v>
          </cell>
          <cell r="G8" t="str">
            <v>Marine Fish</v>
          </cell>
        </row>
        <row r="9">
          <cell r="A9" t="str">
            <v>P. COPPERBAND B/F 2-4"</v>
          </cell>
          <cell r="B9">
            <v>85402</v>
          </cell>
          <cell r="C9" t="str">
            <v>BUTTERFLIES</v>
          </cell>
          <cell r="D9">
            <v>1137131</v>
          </cell>
          <cell r="E9" t="str">
            <v>253-21243</v>
          </cell>
          <cell r="G9" t="str">
            <v>Marine Fish</v>
          </cell>
        </row>
        <row r="10">
          <cell r="A10" t="str">
            <v>P. CORALBAND SHRIMP 1.25-1.75"</v>
          </cell>
          <cell r="B10">
            <v>85706</v>
          </cell>
          <cell r="C10" t="str">
            <v>CRUSTACEANS</v>
          </cell>
          <cell r="D10">
            <v>1136933</v>
          </cell>
          <cell r="E10" t="str">
            <v>253-9224</v>
          </cell>
          <cell r="G10" t="str">
            <v>Marine Inverts</v>
          </cell>
        </row>
        <row r="11">
          <cell r="A11" t="str">
            <v>P. DECORATOR CRAB 1.5-3"</v>
          </cell>
          <cell r="B11">
            <v>85706</v>
          </cell>
          <cell r="C11" t="str">
            <v>CRUSTACEANS</v>
          </cell>
          <cell r="D11">
            <v>1136941</v>
          </cell>
          <cell r="E11" t="str">
            <v>253-9204</v>
          </cell>
          <cell r="G11" t="str">
            <v>Marine Inverts</v>
          </cell>
        </row>
        <row r="12">
          <cell r="A12" t="str">
            <v>P. EIBLI ANGEL 1.5-2.5"</v>
          </cell>
          <cell r="B12">
            <v>85401</v>
          </cell>
          <cell r="C12" t="str">
            <v>ANGELFISH</v>
          </cell>
          <cell r="D12">
            <v>1137158</v>
          </cell>
          <cell r="E12" t="str">
            <v>253-0109</v>
          </cell>
          <cell r="G12" t="str">
            <v>Marine Fish</v>
          </cell>
        </row>
        <row r="13">
          <cell r="A13" t="str">
            <v>P. GREEN CHROMIS 0.75-1.5"</v>
          </cell>
          <cell r="B13">
            <v>85200</v>
          </cell>
          <cell r="C13" t="str">
            <v>DAMSELS</v>
          </cell>
          <cell r="D13">
            <v>1054627</v>
          </cell>
          <cell r="E13" t="str">
            <v>232-2603</v>
          </cell>
          <cell r="G13" t="str">
            <v>Marine Fish</v>
          </cell>
        </row>
        <row r="14">
          <cell r="A14" t="str">
            <v>P. LEMON PEEL ANGEL 2.5-4.5"</v>
          </cell>
          <cell r="B14">
            <v>85401</v>
          </cell>
          <cell r="C14" t="str">
            <v>ANGELFISH</v>
          </cell>
          <cell r="D14">
            <v>1054589</v>
          </cell>
          <cell r="E14" t="str">
            <v>232-0103</v>
          </cell>
          <cell r="G14" t="str">
            <v>Marine Fish</v>
          </cell>
        </row>
        <row r="15">
          <cell r="A15" t="str">
            <v>P. LNG NOSE HAWKFISH 1.25-2.75</v>
          </cell>
          <cell r="B15">
            <v>85502</v>
          </cell>
          <cell r="C15" t="str">
            <v>BASSLETS &amp; DOTTYBACKS</v>
          </cell>
          <cell r="D15">
            <v>1136909</v>
          </cell>
          <cell r="E15" t="str">
            <v>253-8506</v>
          </cell>
          <cell r="G15" t="str">
            <v>Marine Fish</v>
          </cell>
        </row>
        <row r="16">
          <cell r="A16" t="str">
            <v>P. LONG NOSE BUTTERFLY 2.5-4"</v>
          </cell>
          <cell r="B16">
            <v>85402</v>
          </cell>
          <cell r="C16" t="str">
            <v>BUTTERFLIES</v>
          </cell>
          <cell r="D16">
            <v>1136844</v>
          </cell>
          <cell r="E16" t="str">
            <v>253-21063</v>
          </cell>
          <cell r="G16" t="str">
            <v>Marine Fish</v>
          </cell>
        </row>
        <row r="17">
          <cell r="A17" t="str">
            <v>P. LUNAR WRASSE 3-4"</v>
          </cell>
          <cell r="B17">
            <v>85504</v>
          </cell>
          <cell r="C17" t="str">
            <v>WRASSES</v>
          </cell>
          <cell r="D17">
            <v>1137000</v>
          </cell>
          <cell r="E17" t="str">
            <v>253-7101</v>
          </cell>
          <cell r="G17" t="str">
            <v>Marine Fish</v>
          </cell>
        </row>
        <row r="18">
          <cell r="A18" t="str">
            <v>P. SADDLEBACK B/F 2.5-4"</v>
          </cell>
          <cell r="B18">
            <v>85402</v>
          </cell>
          <cell r="C18" t="str">
            <v>BUTTERFLIES</v>
          </cell>
          <cell r="D18">
            <v>1136852</v>
          </cell>
          <cell r="E18" t="str">
            <v>253-21013</v>
          </cell>
          <cell r="G18" t="str">
            <v>Marine Fish</v>
          </cell>
        </row>
        <row r="19">
          <cell r="A19" t="str">
            <v>P. SAILFIN TANG 2.5-3.5"</v>
          </cell>
          <cell r="B19">
            <v>85300</v>
          </cell>
          <cell r="C19" t="str">
            <v>TANGS</v>
          </cell>
          <cell r="D19">
            <v>1054635</v>
          </cell>
          <cell r="E19" t="str">
            <v>232-5601</v>
          </cell>
          <cell r="G19" t="str">
            <v>Marine Fish</v>
          </cell>
        </row>
        <row r="20">
          <cell r="A20" t="str">
            <v>P. SCOPAS TANG 2-3.5"</v>
          </cell>
          <cell r="B20">
            <v>85300</v>
          </cell>
          <cell r="C20" t="str">
            <v>TANGS</v>
          </cell>
          <cell r="D20">
            <v>1137026</v>
          </cell>
          <cell r="E20" t="str">
            <v>253-5610</v>
          </cell>
          <cell r="G20" t="str">
            <v>Marine Fish</v>
          </cell>
        </row>
        <row r="21">
          <cell r="A21" t="str">
            <v>P. SINGAPORE ANGEL 1.5-3"</v>
          </cell>
          <cell r="B21">
            <v>85401</v>
          </cell>
          <cell r="C21" t="str">
            <v>ANGELFISH</v>
          </cell>
          <cell r="D21">
            <v>1137077</v>
          </cell>
          <cell r="E21" t="str">
            <v>253-0114</v>
          </cell>
          <cell r="G21" t="str">
            <v>Marine Fish</v>
          </cell>
        </row>
        <row r="22">
          <cell r="A22" t="str">
            <v>P. SIX-LINE WRASSE 1-1.75"</v>
          </cell>
          <cell r="B22">
            <v>85504</v>
          </cell>
          <cell r="C22" t="str">
            <v>WRASSES</v>
          </cell>
          <cell r="D22">
            <v>1137018</v>
          </cell>
          <cell r="E22" t="str">
            <v>253-7129</v>
          </cell>
          <cell r="G22" t="str">
            <v>Marine Fish</v>
          </cell>
        </row>
        <row r="23">
          <cell r="A23" t="str">
            <v>P. TURBO SNAIL .75-2"</v>
          </cell>
          <cell r="B23">
            <v>85705</v>
          </cell>
          <cell r="C23" t="str">
            <v>SNAILS</v>
          </cell>
          <cell r="D23">
            <v>1136968</v>
          </cell>
          <cell r="E23" t="str">
            <v>200-1004</v>
          </cell>
          <cell r="G23" t="str">
            <v>Marine Inverts</v>
          </cell>
        </row>
        <row r="24">
          <cell r="A24" t="str">
            <v>P. VALENTINI PUFFER 1.5-2.5"</v>
          </cell>
          <cell r="B24">
            <v>85601</v>
          </cell>
          <cell r="C24" t="str">
            <v>TRIGGERS</v>
          </cell>
          <cell r="D24">
            <v>1054678</v>
          </cell>
          <cell r="E24" t="str">
            <v>232-8802</v>
          </cell>
          <cell r="G24" t="str">
            <v>Marine Fish</v>
          </cell>
        </row>
        <row r="25">
          <cell r="A25" t="str">
            <v>P.24KT GOLD WHITE CLOUD MINNOW</v>
          </cell>
          <cell r="B25">
            <v>84529</v>
          </cell>
          <cell r="C25" t="str">
            <v>DANIOS</v>
          </cell>
          <cell r="D25">
            <v>1433873</v>
          </cell>
          <cell r="E25" t="str">
            <v>111-71145</v>
          </cell>
          <cell r="G25" t="str">
            <v>Freshwater Fish</v>
          </cell>
        </row>
        <row r="26">
          <cell r="A26" t="str">
            <v>P.3-STRIPE DAMSEL</v>
          </cell>
          <cell r="B26">
            <v>85200</v>
          </cell>
          <cell r="C26" t="str">
            <v>DAMSELS</v>
          </cell>
          <cell r="D26">
            <v>1033204</v>
          </cell>
          <cell r="E26" t="str">
            <v>211-2605</v>
          </cell>
          <cell r="G26" t="str">
            <v>Marine Fish</v>
          </cell>
        </row>
        <row r="27">
          <cell r="A27" t="str">
            <v>P.ALBINO OSCAR 2"</v>
          </cell>
          <cell r="B27">
            <v>84559</v>
          </cell>
          <cell r="C27" t="str">
            <v>CICHLIDS</v>
          </cell>
          <cell r="D27">
            <v>1031864</v>
          </cell>
          <cell r="E27" t="str">
            <v>173-16039</v>
          </cell>
          <cell r="G27" t="str">
            <v>Freshwater Fish</v>
          </cell>
        </row>
        <row r="28">
          <cell r="A28" t="str">
            <v>P.ALBINO PEACOCK CICHLID MD</v>
          </cell>
          <cell r="B28">
            <v>84559</v>
          </cell>
          <cell r="C28" t="str">
            <v>CICHLIDS</v>
          </cell>
          <cell r="D28">
            <v>1433636</v>
          </cell>
          <cell r="E28" t="str">
            <v>147-08413</v>
          </cell>
          <cell r="G28" t="str">
            <v>Freshwater Fish</v>
          </cell>
        </row>
        <row r="29">
          <cell r="A29" t="str">
            <v>P.ALBINO PEACOCK CICHLID SM</v>
          </cell>
          <cell r="B29">
            <v>84559</v>
          </cell>
          <cell r="C29" t="str">
            <v>CICHLIDS</v>
          </cell>
          <cell r="D29">
            <v>1433628</v>
          </cell>
          <cell r="E29" t="str">
            <v>147-08411</v>
          </cell>
          <cell r="G29" t="str">
            <v>Freshwater Fish</v>
          </cell>
        </row>
        <row r="30">
          <cell r="A30" t="str">
            <v>P.ALBINO RAINBOW SHARK 2"</v>
          </cell>
          <cell r="B30">
            <v>84499</v>
          </cell>
          <cell r="C30" t="str">
            <v>CATFISH, SHARKS &amp; LOACHES</v>
          </cell>
          <cell r="D30">
            <v>1032267</v>
          </cell>
          <cell r="E30" t="str">
            <v>173-61058</v>
          </cell>
          <cell r="G30" t="str">
            <v>Freshwater Fish</v>
          </cell>
        </row>
        <row r="31">
          <cell r="A31" t="str">
            <v>P.ALBINO TIGER BARB L</v>
          </cell>
          <cell r="B31">
            <v>84539</v>
          </cell>
          <cell r="C31" t="str">
            <v>BARBS</v>
          </cell>
          <cell r="D31">
            <v>1031694</v>
          </cell>
          <cell r="E31" t="str">
            <v>161-06035</v>
          </cell>
          <cell r="G31" t="str">
            <v>Freshwater Fish</v>
          </cell>
        </row>
        <row r="32">
          <cell r="A32" t="str">
            <v>P.AMANO SHRIMP 1.25"</v>
          </cell>
          <cell r="B32">
            <v>84399</v>
          </cell>
          <cell r="C32" t="str">
            <v>AMPH/CRUST/SNAIL</v>
          </cell>
          <cell r="D32">
            <v>2379747</v>
          </cell>
          <cell r="E32" t="str">
            <v>147-387015</v>
          </cell>
          <cell r="G32" t="str">
            <v>Freshwater Inverts</v>
          </cell>
        </row>
        <row r="33">
          <cell r="A33" t="str">
            <v>P.ANTENNATA LIONFISH-L</v>
          </cell>
          <cell r="B33">
            <v>85600</v>
          </cell>
          <cell r="C33" t="str">
            <v>LG ASSORTED MARINE FISH</v>
          </cell>
          <cell r="D33">
            <v>1037420</v>
          </cell>
          <cell r="E33" t="str">
            <v>201-31855</v>
          </cell>
          <cell r="G33" t="str">
            <v>Marine Fish</v>
          </cell>
        </row>
        <row r="34">
          <cell r="A34" t="str">
            <v>P.ANTENNATA LIONFISH-M</v>
          </cell>
          <cell r="B34">
            <v>85600</v>
          </cell>
          <cell r="C34" t="str">
            <v>LG ASSORTED MARINE FISH</v>
          </cell>
          <cell r="D34">
            <v>1037412</v>
          </cell>
          <cell r="E34" t="str">
            <v>201-31853</v>
          </cell>
          <cell r="G34" t="str">
            <v>Marine Fish</v>
          </cell>
        </row>
        <row r="35">
          <cell r="A35" t="str">
            <v>P.ANTENNATA LIONFISH-S</v>
          </cell>
          <cell r="B35">
            <v>85600</v>
          </cell>
          <cell r="C35" t="str">
            <v>LG ASSORTED MARINE FISH</v>
          </cell>
          <cell r="D35">
            <v>1037404</v>
          </cell>
          <cell r="E35" t="str">
            <v>201-31851</v>
          </cell>
          <cell r="G35" t="str">
            <v>Marine Fish</v>
          </cell>
        </row>
        <row r="36">
          <cell r="A36" t="str">
            <v>P.ARROW CRAB</v>
          </cell>
          <cell r="B36">
            <v>85706</v>
          </cell>
          <cell r="C36" t="str">
            <v>CRUSTACEANS</v>
          </cell>
          <cell r="D36">
            <v>1033778</v>
          </cell>
          <cell r="E36" t="str">
            <v>200-1010</v>
          </cell>
          <cell r="G36" t="str">
            <v>Marine Inverts</v>
          </cell>
        </row>
        <row r="37">
          <cell r="A37" t="str">
            <v>P.ASSORTED PLATY 1"</v>
          </cell>
          <cell r="B37">
            <v>84503</v>
          </cell>
          <cell r="C37" t="str">
            <v>PLATIES &amp; VARIATUS</v>
          </cell>
          <cell r="D37">
            <v>1032194</v>
          </cell>
          <cell r="E37" t="str">
            <v>161-46013</v>
          </cell>
          <cell r="G37" t="str">
            <v>Freshwater Fish</v>
          </cell>
        </row>
        <row r="38">
          <cell r="A38" t="str">
            <v>P.ASSORTED SWORDTAIL 2"</v>
          </cell>
          <cell r="B38">
            <v>84503</v>
          </cell>
          <cell r="C38" t="str">
            <v>PLATIES &amp; VARIATUS</v>
          </cell>
          <cell r="D38">
            <v>1032283</v>
          </cell>
          <cell r="E38" t="str">
            <v>161-66014</v>
          </cell>
          <cell r="G38" t="str">
            <v>Freshwater Fish</v>
          </cell>
        </row>
        <row r="39">
          <cell r="A39" t="str">
            <v>P.BABY BETTA</v>
          </cell>
          <cell r="B39">
            <v>84197</v>
          </cell>
          <cell r="C39" t="str">
            <v>FANCY BETTA</v>
          </cell>
          <cell r="D39">
            <v>1558307</v>
          </cell>
          <cell r="E39" t="str">
            <v>147-04826</v>
          </cell>
          <cell r="G39" t="str">
            <v>Freshwater Fish</v>
          </cell>
        </row>
        <row r="40">
          <cell r="A40" t="str">
            <v>P.BALA SHARK 2"</v>
          </cell>
          <cell r="B40">
            <v>84499</v>
          </cell>
          <cell r="C40" t="str">
            <v>CATFISH, SHARKS &amp; LOACHES</v>
          </cell>
          <cell r="D40">
            <v>1032240</v>
          </cell>
          <cell r="E40" t="str">
            <v>173-61018</v>
          </cell>
          <cell r="G40" t="str">
            <v>Freshwater Fish</v>
          </cell>
        </row>
        <row r="41">
          <cell r="A41" t="str">
            <v>P.BICOLOR ANGEL 1.5-2.5"</v>
          </cell>
          <cell r="B41">
            <v>85401</v>
          </cell>
          <cell r="C41" t="str">
            <v>ANGELFISH</v>
          </cell>
          <cell r="D41">
            <v>1053256</v>
          </cell>
          <cell r="E41" t="str">
            <v>232-0101</v>
          </cell>
          <cell r="G41" t="str">
            <v>Marine Fish</v>
          </cell>
        </row>
        <row r="42">
          <cell r="A42" t="str">
            <v>P.BI-COLOR BLENNY</v>
          </cell>
          <cell r="B42">
            <v>85503</v>
          </cell>
          <cell r="C42" t="str">
            <v>BLENNIES &amp; GOBIES</v>
          </cell>
          <cell r="D42">
            <v>1033131</v>
          </cell>
          <cell r="E42" t="str">
            <v>211-3602</v>
          </cell>
          <cell r="G42" t="str">
            <v>Marine Fish</v>
          </cell>
        </row>
        <row r="43">
          <cell r="A43" t="str">
            <v>P.BI-COLOR DOTTYBACK</v>
          </cell>
          <cell r="B43">
            <v>85502</v>
          </cell>
          <cell r="C43" t="str">
            <v>BASSLETS &amp; DOTTYBACKS</v>
          </cell>
          <cell r="D43">
            <v>1037005</v>
          </cell>
          <cell r="E43" t="str">
            <v>252-36103</v>
          </cell>
          <cell r="G43" t="str">
            <v>Marine Fish</v>
          </cell>
        </row>
        <row r="44">
          <cell r="A44" t="str">
            <v>P.BLACK LONGSPINE URCHIN 1-3"</v>
          </cell>
          <cell r="B44">
            <v>85709</v>
          </cell>
          <cell r="C44" t="str">
            <v>ASST INVERTS</v>
          </cell>
          <cell r="D44">
            <v>1326198</v>
          </cell>
          <cell r="E44" t="str">
            <v>241-27213</v>
          </cell>
          <cell r="G44" t="str">
            <v>Marine Inverts</v>
          </cell>
        </row>
        <row r="45">
          <cell r="A45" t="str">
            <v>P.BLACK STRIPE GIANT NASSARIUS</v>
          </cell>
          <cell r="B45">
            <v>85705</v>
          </cell>
          <cell r="C45" t="str">
            <v>SNAILS</v>
          </cell>
          <cell r="D45">
            <v>1373285</v>
          </cell>
          <cell r="E45" t="str">
            <v>205-2804</v>
          </cell>
          <cell r="G45" t="str">
            <v>Marine Inverts</v>
          </cell>
        </row>
        <row r="46">
          <cell r="A46" t="str">
            <v>P.BLOND NASO L</v>
          </cell>
          <cell r="B46">
            <v>85300</v>
          </cell>
          <cell r="C46" t="str">
            <v>TANGS</v>
          </cell>
          <cell r="D46">
            <v>1033492</v>
          </cell>
          <cell r="E46" t="str">
            <v>211-56095</v>
          </cell>
          <cell r="G46" t="str">
            <v>Marine Fish</v>
          </cell>
        </row>
        <row r="47">
          <cell r="A47" t="str">
            <v>P.BLOND NASO M</v>
          </cell>
          <cell r="B47">
            <v>85300</v>
          </cell>
          <cell r="C47" t="str">
            <v>TANGS</v>
          </cell>
          <cell r="D47">
            <v>1033484</v>
          </cell>
          <cell r="E47" t="str">
            <v>211-56093</v>
          </cell>
          <cell r="G47" t="str">
            <v>Marine Fish</v>
          </cell>
        </row>
        <row r="48">
          <cell r="A48" t="str">
            <v>P.BLOND NASO S</v>
          </cell>
          <cell r="B48">
            <v>85300</v>
          </cell>
          <cell r="C48" t="str">
            <v>TANGS</v>
          </cell>
          <cell r="D48">
            <v>1033476</v>
          </cell>
          <cell r="E48" t="str">
            <v>211-56091</v>
          </cell>
          <cell r="G48" t="str">
            <v>Marine Fish</v>
          </cell>
        </row>
        <row r="49">
          <cell r="A49" t="str">
            <v>P.BLUE DAMSEL</v>
          </cell>
          <cell r="B49">
            <v>85200</v>
          </cell>
          <cell r="C49" t="str">
            <v>DAMSELS</v>
          </cell>
          <cell r="D49">
            <v>1033212</v>
          </cell>
          <cell r="E49" t="str">
            <v>211-2611</v>
          </cell>
          <cell r="G49" t="str">
            <v>Marine Fish</v>
          </cell>
        </row>
        <row r="50">
          <cell r="A50" t="str">
            <v>P.BLUE FEMALE CROWNTAIL BETTA</v>
          </cell>
          <cell r="B50">
            <v>84197</v>
          </cell>
          <cell r="C50" t="str">
            <v>FANCY BETTA</v>
          </cell>
          <cell r="D50">
            <v>1397702</v>
          </cell>
          <cell r="E50" t="str">
            <v>147-04815</v>
          </cell>
          <cell r="G50" t="str">
            <v>Freshwater Fish</v>
          </cell>
        </row>
        <row r="51">
          <cell r="A51" t="str">
            <v>P.BLUE FEMALE VEILTAIL BETTA</v>
          </cell>
          <cell r="B51">
            <v>84199</v>
          </cell>
          <cell r="C51" t="str">
            <v>BETTA</v>
          </cell>
          <cell r="D51">
            <v>1397630</v>
          </cell>
          <cell r="E51" t="str">
            <v>147-04615</v>
          </cell>
          <cell r="G51" t="str">
            <v>Freshwater Fish</v>
          </cell>
        </row>
        <row r="52">
          <cell r="A52" t="str">
            <v>P.BLUE GOURAMI 2"</v>
          </cell>
          <cell r="B52">
            <v>84549</v>
          </cell>
          <cell r="C52" t="str">
            <v>GOURAMIS</v>
          </cell>
          <cell r="D52">
            <v>1031970</v>
          </cell>
          <cell r="E52" t="str">
            <v>173-310110</v>
          </cell>
          <cell r="G52" t="str">
            <v>Freshwater Fish</v>
          </cell>
        </row>
        <row r="53">
          <cell r="A53" t="str">
            <v>P.BLUE HIPPO TANG L</v>
          </cell>
          <cell r="B53">
            <v>85300</v>
          </cell>
          <cell r="C53" t="str">
            <v>TANGS</v>
          </cell>
          <cell r="D53">
            <v>1033611</v>
          </cell>
          <cell r="E53" t="str">
            <v>211-56115</v>
          </cell>
          <cell r="G53" t="str">
            <v>Marine Fish</v>
          </cell>
        </row>
        <row r="54">
          <cell r="A54" t="str">
            <v>P.BLUE HIPPO TANG M</v>
          </cell>
          <cell r="B54">
            <v>85300</v>
          </cell>
          <cell r="C54" t="str">
            <v>TANGS</v>
          </cell>
          <cell r="D54">
            <v>1033603</v>
          </cell>
          <cell r="E54" t="str">
            <v>211-56113</v>
          </cell>
          <cell r="G54" t="str">
            <v>Marine Fish</v>
          </cell>
        </row>
        <row r="55">
          <cell r="A55" t="str">
            <v>P.BLUE HIPPO TANG S</v>
          </cell>
          <cell r="B55">
            <v>85300</v>
          </cell>
          <cell r="C55" t="str">
            <v>TANGS</v>
          </cell>
          <cell r="D55">
            <v>1033590</v>
          </cell>
          <cell r="E55" t="str">
            <v>211-56111</v>
          </cell>
          <cell r="G55" t="str">
            <v>Marine Fish</v>
          </cell>
        </row>
        <row r="56">
          <cell r="A56" t="str">
            <v>P.BLUE LEG HERMIT</v>
          </cell>
          <cell r="B56">
            <v>85706</v>
          </cell>
          <cell r="C56" t="str">
            <v>CRUSTACEANS</v>
          </cell>
          <cell r="D56">
            <v>1033786</v>
          </cell>
          <cell r="E56" t="str">
            <v>200-1009</v>
          </cell>
          <cell r="G56" t="str">
            <v>Marine Inverts</v>
          </cell>
        </row>
        <row r="57">
          <cell r="A57" t="str">
            <v>P.BLUE MALE CROWNTAIL BETTA</v>
          </cell>
          <cell r="B57">
            <v>84197</v>
          </cell>
          <cell r="C57" t="str">
            <v>FANCY BETTA</v>
          </cell>
          <cell r="D57">
            <v>1397664</v>
          </cell>
          <cell r="E57" t="str">
            <v>147-04715</v>
          </cell>
          <cell r="G57" t="str">
            <v>Freshwater Fish</v>
          </cell>
        </row>
        <row r="58">
          <cell r="A58" t="str">
            <v>P.BLUE MALE VEILTAIL BETTA</v>
          </cell>
          <cell r="B58">
            <v>84199</v>
          </cell>
          <cell r="C58" t="str">
            <v>BETTA</v>
          </cell>
          <cell r="D58">
            <v>1397591</v>
          </cell>
          <cell r="E58" t="str">
            <v>147-04515</v>
          </cell>
          <cell r="G58" t="str">
            <v>Freshwater Fish</v>
          </cell>
        </row>
        <row r="59">
          <cell r="A59" t="str">
            <v>P.BLUE NEON GUPPY - XL</v>
          </cell>
          <cell r="B59">
            <v>84501</v>
          </cell>
          <cell r="C59" t="str">
            <v>GUPPIES</v>
          </cell>
          <cell r="D59">
            <v>1032089</v>
          </cell>
          <cell r="E59" t="str">
            <v>111-36136</v>
          </cell>
          <cell r="G59" t="str">
            <v>Freshwater Fish</v>
          </cell>
        </row>
        <row r="60">
          <cell r="A60" t="str">
            <v>P.BLUE RING ANGEL AD L</v>
          </cell>
          <cell r="B60">
            <v>85401</v>
          </cell>
          <cell r="C60" t="str">
            <v>ANGELFISH</v>
          </cell>
          <cell r="D60">
            <v>1033077</v>
          </cell>
          <cell r="E60" t="str">
            <v>211-01095</v>
          </cell>
          <cell r="G60" t="str">
            <v>Marine Fish</v>
          </cell>
        </row>
        <row r="61">
          <cell r="A61" t="str">
            <v>P.BLUE RING ANGEL AD M</v>
          </cell>
          <cell r="B61">
            <v>85401</v>
          </cell>
          <cell r="C61" t="str">
            <v>ANGELFISH</v>
          </cell>
          <cell r="D61">
            <v>1033069</v>
          </cell>
          <cell r="E61" t="str">
            <v>211-01093</v>
          </cell>
          <cell r="G61" t="str">
            <v>Marine Fish</v>
          </cell>
        </row>
        <row r="62">
          <cell r="A62" t="str">
            <v>P.BLUE RING ANGEL AD S</v>
          </cell>
          <cell r="B62">
            <v>85401</v>
          </cell>
          <cell r="C62" t="str">
            <v>ANGELFISH</v>
          </cell>
          <cell r="D62">
            <v>1033050</v>
          </cell>
          <cell r="E62" t="str">
            <v>211-01091</v>
          </cell>
          <cell r="G62" t="str">
            <v>Marine Fish</v>
          </cell>
        </row>
        <row r="63">
          <cell r="A63" t="str">
            <v>P.BLUE RING ANGEL JUV L</v>
          </cell>
          <cell r="B63">
            <v>85401</v>
          </cell>
          <cell r="C63" t="str">
            <v>ANGELFISH</v>
          </cell>
          <cell r="D63">
            <v>1033042</v>
          </cell>
          <cell r="E63" t="str">
            <v>211-01085</v>
          </cell>
          <cell r="G63" t="str">
            <v>Marine Fish</v>
          </cell>
        </row>
        <row r="64">
          <cell r="A64" t="str">
            <v>P.BLUE RING ANGEL JUV M</v>
          </cell>
          <cell r="B64">
            <v>85401</v>
          </cell>
          <cell r="C64" t="str">
            <v>ANGELFISH</v>
          </cell>
          <cell r="D64">
            <v>1033034</v>
          </cell>
          <cell r="E64" t="str">
            <v>211-01083</v>
          </cell>
          <cell r="G64" t="str">
            <v>Marine Fish</v>
          </cell>
        </row>
        <row r="65">
          <cell r="A65" t="str">
            <v>P.BLUE RING ANGEL JUV S</v>
          </cell>
          <cell r="B65">
            <v>85401</v>
          </cell>
          <cell r="C65" t="str">
            <v>ANGELFISH</v>
          </cell>
          <cell r="D65">
            <v>1033026</v>
          </cell>
          <cell r="E65" t="str">
            <v>211-01081</v>
          </cell>
          <cell r="G65" t="str">
            <v>Marine Fish</v>
          </cell>
        </row>
        <row r="66">
          <cell r="A66" t="str">
            <v>P.BLUE SEA FAN 4-8"</v>
          </cell>
          <cell r="B66">
            <v>85709</v>
          </cell>
          <cell r="C66" t="str">
            <v>ASST INVERTS</v>
          </cell>
          <cell r="D66">
            <v>1324780</v>
          </cell>
          <cell r="E66" t="str">
            <v>111-12000</v>
          </cell>
          <cell r="G66" t="str">
            <v>Marine Inverts</v>
          </cell>
        </row>
        <row r="67">
          <cell r="A67" t="str">
            <v>P.BLUE SPINY LOBSTER-L</v>
          </cell>
          <cell r="B67">
            <v>85706</v>
          </cell>
          <cell r="C67" t="str">
            <v>CRUSTACEANS</v>
          </cell>
          <cell r="D67">
            <v>1037390</v>
          </cell>
          <cell r="E67" t="str">
            <v>253-92265</v>
          </cell>
          <cell r="G67" t="str">
            <v>Marine Inverts</v>
          </cell>
        </row>
        <row r="68">
          <cell r="A68" t="str">
            <v>P.BLUE SPINY LOBSTER-M</v>
          </cell>
          <cell r="B68">
            <v>85706</v>
          </cell>
          <cell r="C68" t="str">
            <v>CRUSTACEANS</v>
          </cell>
          <cell r="D68">
            <v>1037382</v>
          </cell>
          <cell r="E68" t="str">
            <v>253-92263</v>
          </cell>
          <cell r="G68" t="str">
            <v>Marine Inverts</v>
          </cell>
        </row>
        <row r="69">
          <cell r="A69" t="str">
            <v>P.BLUE SPINY LOBSTER-S</v>
          </cell>
          <cell r="B69">
            <v>85706</v>
          </cell>
          <cell r="C69" t="str">
            <v>CRUSTACEANS</v>
          </cell>
          <cell r="D69">
            <v>1037374</v>
          </cell>
          <cell r="E69" t="str">
            <v>253-92261</v>
          </cell>
          <cell r="G69" t="str">
            <v>Marine Inverts</v>
          </cell>
        </row>
        <row r="70">
          <cell r="A70" t="str">
            <v>P.BLUEFACE ANGEL L</v>
          </cell>
          <cell r="B70">
            <v>85401</v>
          </cell>
          <cell r="C70" t="str">
            <v>ANGELFISH</v>
          </cell>
          <cell r="D70">
            <v>1306871</v>
          </cell>
          <cell r="E70">
            <v>2110165</v>
          </cell>
          <cell r="F70" t="str">
            <v>Adult</v>
          </cell>
          <cell r="G70" t="str">
            <v>Marine Fish</v>
          </cell>
        </row>
        <row r="71">
          <cell r="A71" t="str">
            <v>P.BLUEFACE ANGEL M</v>
          </cell>
          <cell r="B71">
            <v>85401</v>
          </cell>
          <cell r="C71" t="str">
            <v>ANGELFISH</v>
          </cell>
          <cell r="D71">
            <v>1306863</v>
          </cell>
          <cell r="E71" t="str">
            <v>211-01063</v>
          </cell>
          <cell r="F71" t="str">
            <v>Adult</v>
          </cell>
          <cell r="G71" t="str">
            <v>Marine Fish</v>
          </cell>
        </row>
        <row r="72">
          <cell r="A72" t="str">
            <v>P.BLUEFACE ANGEL S</v>
          </cell>
          <cell r="B72">
            <v>85401</v>
          </cell>
          <cell r="C72" t="str">
            <v>ANGELFISH</v>
          </cell>
          <cell r="D72">
            <v>1306855</v>
          </cell>
          <cell r="E72" t="str">
            <v>211-01061</v>
          </cell>
          <cell r="F72" t="str">
            <v>Adult</v>
          </cell>
          <cell r="G72" t="str">
            <v>Marine Fish</v>
          </cell>
        </row>
        <row r="73">
          <cell r="A73" t="str">
            <v>P.BLUEJAW TRIGGER FEMALE 3.5"</v>
          </cell>
          <cell r="B73">
            <v>85601</v>
          </cell>
          <cell r="C73" t="str">
            <v>TRIGGERS</v>
          </cell>
          <cell r="D73">
            <v>1397478</v>
          </cell>
          <cell r="E73" t="str">
            <v>205-43023</v>
          </cell>
          <cell r="G73" t="str">
            <v>Marine Fish</v>
          </cell>
        </row>
        <row r="74">
          <cell r="A74" t="str">
            <v>P.BLUEJAW TRIGGER FEMALE 4.5"</v>
          </cell>
          <cell r="B74">
            <v>85601</v>
          </cell>
          <cell r="C74" t="str">
            <v>TRIGGERS</v>
          </cell>
          <cell r="D74">
            <v>1397486</v>
          </cell>
          <cell r="E74" t="str">
            <v>205-43025</v>
          </cell>
          <cell r="G74" t="str">
            <v>Marine Fish</v>
          </cell>
        </row>
        <row r="75">
          <cell r="A75" t="str">
            <v>P.BLUEJAW TRIGGER MALE 1-2.5"</v>
          </cell>
          <cell r="B75">
            <v>85601</v>
          </cell>
          <cell r="C75" t="str">
            <v>TRIGGERS</v>
          </cell>
          <cell r="D75">
            <v>1397494</v>
          </cell>
          <cell r="E75" t="str">
            <v>205-43031</v>
          </cell>
          <cell r="G75" t="str">
            <v>Marine Fish</v>
          </cell>
        </row>
        <row r="76">
          <cell r="A76" t="str">
            <v>P.BLUEJAW TRIGGER MALE 3.5"</v>
          </cell>
          <cell r="B76">
            <v>85601</v>
          </cell>
          <cell r="C76" t="str">
            <v>TRIGGERS</v>
          </cell>
          <cell r="D76">
            <v>1397508</v>
          </cell>
          <cell r="E76" t="str">
            <v>205-43033</v>
          </cell>
          <cell r="G76" t="str">
            <v>Marine Fish</v>
          </cell>
        </row>
        <row r="77">
          <cell r="A77" t="str">
            <v>P.BLUEJAW TRIGGER MALE 4.5"</v>
          </cell>
          <cell r="B77">
            <v>85601</v>
          </cell>
          <cell r="C77" t="str">
            <v>TRIGGERS</v>
          </cell>
          <cell r="D77">
            <v>1397516</v>
          </cell>
          <cell r="E77" t="str">
            <v>205-43035</v>
          </cell>
          <cell r="G77" t="str">
            <v>Marine Fish</v>
          </cell>
        </row>
        <row r="78">
          <cell r="A78" t="str">
            <v>P.BUBBLE ANEMONE - L</v>
          </cell>
          <cell r="B78">
            <v>85708</v>
          </cell>
          <cell r="C78" t="str">
            <v>ANEMONES</v>
          </cell>
          <cell r="D78">
            <v>1215159</v>
          </cell>
          <cell r="E78" t="str">
            <v>211-07034</v>
          </cell>
          <cell r="G78" t="str">
            <v>Marine Inverts</v>
          </cell>
        </row>
        <row r="79">
          <cell r="A79" t="str">
            <v>P.BUBBLE ANEMONE - M</v>
          </cell>
          <cell r="B79">
            <v>85708</v>
          </cell>
          <cell r="C79" t="str">
            <v>ANEMONES</v>
          </cell>
          <cell r="D79">
            <v>1215140</v>
          </cell>
          <cell r="E79" t="str">
            <v>211-07033</v>
          </cell>
          <cell r="G79" t="str">
            <v>Marine Inverts</v>
          </cell>
        </row>
        <row r="80">
          <cell r="A80" t="str">
            <v>P.BUBBLE ANEMONE - S</v>
          </cell>
          <cell r="B80">
            <v>85708</v>
          </cell>
          <cell r="C80" t="str">
            <v>ANEMONES</v>
          </cell>
          <cell r="D80">
            <v>1215132</v>
          </cell>
          <cell r="E80" t="str">
            <v>211-07032</v>
          </cell>
          <cell r="G80" t="str">
            <v>Marine Inverts</v>
          </cell>
        </row>
        <row r="81">
          <cell r="A81" t="str">
            <v>P.CAMBODIAN CROWNTAIL BETTA M</v>
          </cell>
          <cell r="B81">
            <v>84197</v>
          </cell>
          <cell r="C81" t="str">
            <v>FANCY BETTA</v>
          </cell>
          <cell r="D81">
            <v>1397680</v>
          </cell>
          <cell r="E81" t="str">
            <v>147-04735</v>
          </cell>
          <cell r="G81" t="str">
            <v>Freshwater Fish</v>
          </cell>
        </row>
        <row r="82">
          <cell r="A82" t="str">
            <v>P.CAMBODIAN VEILTAIL BETTA M</v>
          </cell>
          <cell r="B82">
            <v>84199</v>
          </cell>
          <cell r="C82" t="str">
            <v>BETTA</v>
          </cell>
          <cell r="D82">
            <v>1397613</v>
          </cell>
          <cell r="E82" t="str">
            <v>147-04535</v>
          </cell>
          <cell r="G82" t="str">
            <v>Freshwater Fish</v>
          </cell>
        </row>
        <row r="83">
          <cell r="A83" t="str">
            <v>P.CARPENTER'S FLASHER WRASSE</v>
          </cell>
          <cell r="B83">
            <v>85504</v>
          </cell>
          <cell r="C83" t="str">
            <v>WRASSES</v>
          </cell>
          <cell r="D83">
            <v>1038419</v>
          </cell>
          <cell r="E83" t="str">
            <v>211-58013</v>
          </cell>
          <cell r="G83" t="str">
            <v>Marine Fish</v>
          </cell>
        </row>
        <row r="84">
          <cell r="A84" t="str">
            <v>P.CARPET ANEMONE 6-10"</v>
          </cell>
          <cell r="B84">
            <v>85708</v>
          </cell>
          <cell r="C84" t="str">
            <v>ANEMONES</v>
          </cell>
          <cell r="D84">
            <v>1053183</v>
          </cell>
          <cell r="E84" t="str">
            <v>376-0504</v>
          </cell>
          <cell r="G84" t="str">
            <v>Marine Inverts</v>
          </cell>
        </row>
        <row r="85">
          <cell r="A85" t="str">
            <v>P.CATALINA GOBY</v>
          </cell>
          <cell r="B85">
            <v>85503</v>
          </cell>
          <cell r="C85" t="str">
            <v>BLENNIES &amp; GOBIES</v>
          </cell>
          <cell r="D85">
            <v>1037838</v>
          </cell>
          <cell r="E85" t="str">
            <v>180-25573</v>
          </cell>
          <cell r="G85" t="str">
            <v>Marine Fish</v>
          </cell>
        </row>
        <row r="86">
          <cell r="A86" t="str">
            <v>P.CERITH SNAIL</v>
          </cell>
          <cell r="B86">
            <v>85705</v>
          </cell>
          <cell r="C86" t="str">
            <v>SNAILS</v>
          </cell>
          <cell r="D86">
            <v>1033743</v>
          </cell>
          <cell r="E86" t="str">
            <v>200-1001</v>
          </cell>
          <cell r="G86" t="str">
            <v>Marine Inverts</v>
          </cell>
        </row>
        <row r="87">
          <cell r="A87" t="str">
            <v>P.CHERRY SHRIMP 0.5-1"</v>
          </cell>
          <cell r="B87">
            <v>84399</v>
          </cell>
          <cell r="C87" t="str">
            <v>AMPH/CRUST/SNAIL</v>
          </cell>
          <cell r="D87">
            <v>2379755</v>
          </cell>
          <cell r="E87" t="str">
            <v>147-90177</v>
          </cell>
          <cell r="G87" t="str">
            <v>Freshwater Inverts</v>
          </cell>
        </row>
        <row r="88">
          <cell r="A88" t="str">
            <v>P.CHOCOLATE CHIP STARFISH</v>
          </cell>
          <cell r="B88">
            <v>85709</v>
          </cell>
          <cell r="C88" t="str">
            <v>ASST INVERTS</v>
          </cell>
          <cell r="D88">
            <v>1035762</v>
          </cell>
          <cell r="E88" t="str">
            <v>241-7903</v>
          </cell>
          <cell r="G88" t="str">
            <v>Marine Inverts</v>
          </cell>
        </row>
        <row r="89">
          <cell r="A89" t="str">
            <v>P.CLEANER SHRIMP L</v>
          </cell>
          <cell r="B89">
            <v>85706</v>
          </cell>
          <cell r="C89" t="str">
            <v>CRUSTACEANS</v>
          </cell>
          <cell r="D89">
            <v>1033832</v>
          </cell>
          <cell r="E89" t="str">
            <v>211-78015</v>
          </cell>
          <cell r="G89" t="str">
            <v>Marine Inverts</v>
          </cell>
        </row>
        <row r="90">
          <cell r="A90" t="str">
            <v>P.CLEANER SHRIMP M</v>
          </cell>
          <cell r="B90">
            <v>85706</v>
          </cell>
          <cell r="C90" t="str">
            <v>CRUSTACEANS</v>
          </cell>
          <cell r="D90">
            <v>1033824</v>
          </cell>
          <cell r="E90" t="str">
            <v>211-78013</v>
          </cell>
          <cell r="G90" t="str">
            <v>Marine Inverts</v>
          </cell>
        </row>
        <row r="91">
          <cell r="A91" t="str">
            <v>P.CLEANER SHRIMP S</v>
          </cell>
          <cell r="B91">
            <v>85706</v>
          </cell>
          <cell r="C91" t="str">
            <v>CRUSTACEANS</v>
          </cell>
          <cell r="D91">
            <v>1033816</v>
          </cell>
          <cell r="E91" t="str">
            <v>211-78011</v>
          </cell>
          <cell r="G91" t="str">
            <v>Marine Inverts</v>
          </cell>
        </row>
        <row r="92">
          <cell r="A92" t="str">
            <v>P.CLOWN TANG L</v>
          </cell>
          <cell r="B92">
            <v>85300</v>
          </cell>
          <cell r="C92" t="str">
            <v>TANGS</v>
          </cell>
          <cell r="D92">
            <v>1033433</v>
          </cell>
          <cell r="E92" t="str">
            <v>211-56025</v>
          </cell>
          <cell r="G92" t="str">
            <v>Marine Fish</v>
          </cell>
        </row>
        <row r="93">
          <cell r="A93" t="str">
            <v>P.CLOWN TANG M</v>
          </cell>
          <cell r="B93">
            <v>85300</v>
          </cell>
          <cell r="C93" t="str">
            <v>TANGS</v>
          </cell>
          <cell r="D93">
            <v>1033425</v>
          </cell>
          <cell r="E93" t="str">
            <v>211-56023</v>
          </cell>
          <cell r="G93" t="str">
            <v>Marine Fish</v>
          </cell>
        </row>
        <row r="94">
          <cell r="A94" t="str">
            <v>P.CLOWN TANG S</v>
          </cell>
          <cell r="B94">
            <v>85300</v>
          </cell>
          <cell r="C94" t="str">
            <v>TANGS</v>
          </cell>
          <cell r="D94">
            <v>1033417</v>
          </cell>
          <cell r="E94" t="str">
            <v>211-56021</v>
          </cell>
          <cell r="G94" t="str">
            <v>Marine Fish</v>
          </cell>
        </row>
        <row r="95">
          <cell r="A95" t="str">
            <v>P.COCO WORM XXL 4-7"</v>
          </cell>
          <cell r="B95">
            <v>85709</v>
          </cell>
          <cell r="C95" t="str">
            <v>ASST INVERTS</v>
          </cell>
          <cell r="D95">
            <v>1323954</v>
          </cell>
          <cell r="E95" t="str">
            <v>241-17230</v>
          </cell>
          <cell r="G95" t="str">
            <v>Marine Inverts</v>
          </cell>
        </row>
        <row r="96">
          <cell r="A96" t="str">
            <v>P.CONDYLACTIS ANEMONE-ATLANTIC</v>
          </cell>
          <cell r="B96">
            <v>85708</v>
          </cell>
          <cell r="C96" t="str">
            <v>ANEMONES</v>
          </cell>
          <cell r="D96">
            <v>1373137</v>
          </cell>
          <cell r="E96" t="str">
            <v>205-2703</v>
          </cell>
          <cell r="G96" t="str">
            <v>Marine Inverts</v>
          </cell>
        </row>
        <row r="97">
          <cell r="A97" t="str">
            <v>P.CORAL BEAUTY ANGEL 1.5-2.5"</v>
          </cell>
          <cell r="B97">
            <v>85401</v>
          </cell>
          <cell r="C97" t="str">
            <v>ANGELFISH</v>
          </cell>
          <cell r="D97">
            <v>1053191</v>
          </cell>
          <cell r="E97" t="str">
            <v>232-0102</v>
          </cell>
          <cell r="G97" t="str">
            <v>Marine Fish</v>
          </cell>
        </row>
        <row r="98">
          <cell r="A98" t="str">
            <v>P.CREAM ANGEL LG</v>
          </cell>
          <cell r="B98">
            <v>85401</v>
          </cell>
          <cell r="C98" t="str">
            <v>ANGELFISH</v>
          </cell>
          <cell r="D98">
            <v>1434268</v>
          </cell>
          <cell r="E98" t="str">
            <v>211-01025</v>
          </cell>
          <cell r="G98" t="str">
            <v>Marine Fish</v>
          </cell>
        </row>
        <row r="99">
          <cell r="A99" t="str">
            <v>P.CREAM ANGEL MD</v>
          </cell>
          <cell r="B99">
            <v>85401</v>
          </cell>
          <cell r="C99" t="str">
            <v>ANGELFISH</v>
          </cell>
          <cell r="D99">
            <v>1434250</v>
          </cell>
          <cell r="E99" t="str">
            <v>211-01023</v>
          </cell>
          <cell r="G99" t="str">
            <v>Marine Fish</v>
          </cell>
        </row>
        <row r="100">
          <cell r="A100" t="str">
            <v>P.CREAM ANGEL SM</v>
          </cell>
          <cell r="B100">
            <v>85401</v>
          </cell>
          <cell r="C100" t="str">
            <v>ANGELFISH</v>
          </cell>
          <cell r="D100">
            <v>1434241</v>
          </cell>
          <cell r="E100" t="str">
            <v>211-01021</v>
          </cell>
          <cell r="G100" t="str">
            <v>Marine Fish</v>
          </cell>
        </row>
        <row r="101">
          <cell r="A101" t="str">
            <v>P.CROWNTAIL BETTAS - XL</v>
          </cell>
          <cell r="B101">
            <v>84197</v>
          </cell>
          <cell r="C101" t="str">
            <v>FANCY BETTA</v>
          </cell>
          <cell r="D101">
            <v>1031775</v>
          </cell>
          <cell r="E101" t="str">
            <v>171-11087</v>
          </cell>
          <cell r="G101" t="str">
            <v>Freshwater Fish</v>
          </cell>
        </row>
        <row r="102">
          <cell r="A102" t="str">
            <v>P.DELTATAIL BETTA MALE - XL</v>
          </cell>
          <cell r="B102">
            <v>84197</v>
          </cell>
          <cell r="C102" t="str">
            <v>FANCY BETTA</v>
          </cell>
          <cell r="D102">
            <v>1031724</v>
          </cell>
          <cell r="E102" t="str">
            <v>171-111014</v>
          </cell>
          <cell r="G102" t="str">
            <v>Freshwater Fish</v>
          </cell>
        </row>
        <row r="103">
          <cell r="A103" t="str">
            <v>P.DIADEMA DOTTYBACK</v>
          </cell>
          <cell r="B103">
            <v>85502</v>
          </cell>
          <cell r="C103" t="str">
            <v>BASSLETS &amp; DOTTYBACKS</v>
          </cell>
          <cell r="D103">
            <v>1036980</v>
          </cell>
          <cell r="E103" t="str">
            <v>253-06173</v>
          </cell>
          <cell r="G103" t="str">
            <v>Marine Fish</v>
          </cell>
        </row>
        <row r="104">
          <cell r="A104" t="str">
            <v>P.DIAMOND GOBY</v>
          </cell>
          <cell r="B104">
            <v>85503</v>
          </cell>
          <cell r="C104" t="str">
            <v>BLENNIES &amp; GOBIES</v>
          </cell>
          <cell r="D104">
            <v>1033140</v>
          </cell>
          <cell r="E104" t="str">
            <v>211-3618</v>
          </cell>
          <cell r="G104" t="str">
            <v>Marine Fish</v>
          </cell>
        </row>
        <row r="105">
          <cell r="A105" t="str">
            <v>P.DISPAR ANTHIAS-FEMALE</v>
          </cell>
          <cell r="B105">
            <v>85501</v>
          </cell>
          <cell r="C105" t="str">
            <v>SM ASSORTED MARINE FISH</v>
          </cell>
          <cell r="D105">
            <v>1372386</v>
          </cell>
          <cell r="E105" t="str">
            <v>205-0302</v>
          </cell>
          <cell r="G105" t="str">
            <v>Marine Fish</v>
          </cell>
        </row>
        <row r="106">
          <cell r="A106" t="str">
            <v>P.DISPAR ANTHIAS-MALE</v>
          </cell>
          <cell r="B106">
            <v>85501</v>
          </cell>
          <cell r="C106" t="str">
            <v>SM ASSORTED MARINE FISH</v>
          </cell>
          <cell r="D106">
            <v>1372394</v>
          </cell>
          <cell r="E106" t="str">
            <v>205-0303</v>
          </cell>
          <cell r="G106" t="str">
            <v>Marine Fish</v>
          </cell>
        </row>
        <row r="107">
          <cell r="A107" t="str">
            <v>P.DOG FACE PUFFER-L</v>
          </cell>
          <cell r="B107">
            <v>85600</v>
          </cell>
          <cell r="C107" t="str">
            <v>LG ASSORTED MARINE FISH</v>
          </cell>
          <cell r="D107">
            <v>1037528</v>
          </cell>
          <cell r="E107" t="str">
            <v>211-29035</v>
          </cell>
          <cell r="G107" t="str">
            <v>Marine Fish</v>
          </cell>
        </row>
        <row r="108">
          <cell r="A108" t="str">
            <v>P.DOG FACE PUFFER-M</v>
          </cell>
          <cell r="B108">
            <v>85600</v>
          </cell>
          <cell r="C108" t="str">
            <v>LG ASSORTED MARINE FISH</v>
          </cell>
          <cell r="D108">
            <v>1037510</v>
          </cell>
          <cell r="E108" t="str">
            <v>211-29033</v>
          </cell>
          <cell r="G108" t="str">
            <v>Marine Fish</v>
          </cell>
        </row>
        <row r="109">
          <cell r="A109" t="str">
            <v>P.DOG FACE PUFFER-S</v>
          </cell>
          <cell r="B109">
            <v>85600</v>
          </cell>
          <cell r="C109" t="str">
            <v>LG ASSORTED MARINE FISH</v>
          </cell>
          <cell r="D109">
            <v>1037501</v>
          </cell>
          <cell r="E109" t="str">
            <v>211-29031</v>
          </cell>
          <cell r="G109" t="str">
            <v>Marine Fish</v>
          </cell>
        </row>
        <row r="110">
          <cell r="A110" t="str">
            <v>P.DOMINO DAMSEL</v>
          </cell>
          <cell r="B110">
            <v>85200</v>
          </cell>
          <cell r="C110" t="str">
            <v>DAMSELS</v>
          </cell>
          <cell r="D110">
            <v>1033190</v>
          </cell>
          <cell r="E110" t="str">
            <v>211-2608</v>
          </cell>
          <cell r="G110" t="str">
            <v>Marine Fish</v>
          </cell>
        </row>
        <row r="111">
          <cell r="A111" t="str">
            <v>P.DOUBLETAIL BETTA MALE 2.25"</v>
          </cell>
          <cell r="B111">
            <v>84197</v>
          </cell>
          <cell r="C111" t="str">
            <v>FANCY BETTA</v>
          </cell>
          <cell r="D111">
            <v>1397540</v>
          </cell>
          <cell r="E111" t="str">
            <v>147-04096</v>
          </cell>
          <cell r="G111" t="str">
            <v>Freshwater Fish</v>
          </cell>
        </row>
        <row r="112">
          <cell r="A112" t="str">
            <v>P.DOUBLETAIL HALFMOON BETTA M</v>
          </cell>
          <cell r="B112">
            <v>84197</v>
          </cell>
          <cell r="C112" t="str">
            <v>FANCY BETTA</v>
          </cell>
          <cell r="D112">
            <v>1397559</v>
          </cell>
          <cell r="E112" t="str">
            <v>147-04315</v>
          </cell>
          <cell r="G112" t="str">
            <v>Freshwater Fish</v>
          </cell>
        </row>
        <row r="113">
          <cell r="A113" t="str">
            <v>P.DRAGON WRASSE-L</v>
          </cell>
          <cell r="B113">
            <v>85504</v>
          </cell>
          <cell r="C113" t="str">
            <v>WRASSES</v>
          </cell>
          <cell r="D113">
            <v>1307517</v>
          </cell>
          <cell r="E113" t="str">
            <v>211-46115</v>
          </cell>
          <cell r="G113" t="str">
            <v>Marine Fish</v>
          </cell>
        </row>
        <row r="114">
          <cell r="A114" t="str">
            <v>P.DRAGON WRASSE-M</v>
          </cell>
          <cell r="B114">
            <v>85504</v>
          </cell>
          <cell r="C114" t="str">
            <v>WRASSES</v>
          </cell>
          <cell r="D114">
            <v>1307509</v>
          </cell>
          <cell r="E114" t="str">
            <v>211-46113</v>
          </cell>
          <cell r="G114" t="str">
            <v>Marine Fish</v>
          </cell>
        </row>
        <row r="115">
          <cell r="A115" t="str">
            <v>P.DRAGON WRASSE-S</v>
          </cell>
          <cell r="B115">
            <v>85504</v>
          </cell>
          <cell r="C115" t="str">
            <v>WRASSES</v>
          </cell>
          <cell r="D115">
            <v>1307495</v>
          </cell>
          <cell r="E115" t="str">
            <v>211-46111</v>
          </cell>
          <cell r="G115" t="str">
            <v>Marine Fish</v>
          </cell>
        </row>
        <row r="116">
          <cell r="A116" t="str">
            <v>P.DWARF GOURAMI 1.5"</v>
          </cell>
          <cell r="B116">
            <v>84549</v>
          </cell>
          <cell r="C116" t="str">
            <v>GOURAMIS</v>
          </cell>
          <cell r="D116">
            <v>1031953</v>
          </cell>
          <cell r="E116" t="str">
            <v>173-31077</v>
          </cell>
          <cell r="G116" t="str">
            <v>Freshwater Fish</v>
          </cell>
        </row>
        <row r="117">
          <cell r="A117" t="str">
            <v>P.DWARF ZEBRA LIONFISH-L</v>
          </cell>
          <cell r="B117">
            <v>85600</v>
          </cell>
          <cell r="C117" t="str">
            <v>LG ASSORTED MARINE FISH</v>
          </cell>
          <cell r="D117">
            <v>1037455</v>
          </cell>
          <cell r="E117" t="str">
            <v>252-46085</v>
          </cell>
          <cell r="G117" t="str">
            <v>Marine Fish</v>
          </cell>
        </row>
        <row r="118">
          <cell r="A118" t="str">
            <v>P.DWARF ZEBRA LIONFISH-M</v>
          </cell>
          <cell r="B118">
            <v>85600</v>
          </cell>
          <cell r="C118" t="str">
            <v>LG ASSORTED MARINE FISH</v>
          </cell>
          <cell r="D118">
            <v>1037447</v>
          </cell>
          <cell r="E118" t="str">
            <v>252-46083</v>
          </cell>
          <cell r="G118" t="str">
            <v>Marine Fish</v>
          </cell>
        </row>
        <row r="119">
          <cell r="A119" t="str">
            <v>P.DWARF ZEBRA LIONFISH-S</v>
          </cell>
          <cell r="B119">
            <v>85600</v>
          </cell>
          <cell r="C119" t="str">
            <v>LG ASSORTED MARINE FISH</v>
          </cell>
          <cell r="D119">
            <v>1037439</v>
          </cell>
          <cell r="E119" t="str">
            <v>252-46081</v>
          </cell>
          <cell r="G119" t="str">
            <v>Marine Fish</v>
          </cell>
        </row>
        <row r="120">
          <cell r="A120" t="str">
            <v>P.ELEPHANT EAR DELTA TAIL BETT</v>
          </cell>
          <cell r="B120">
            <v>84197</v>
          </cell>
          <cell r="C120" t="str">
            <v>FANCY BETTA</v>
          </cell>
          <cell r="D120">
            <v>2139250</v>
          </cell>
          <cell r="E120" t="str">
            <v>179-112110</v>
          </cell>
          <cell r="G120" t="str">
            <v>Freshwater Fish</v>
          </cell>
        </row>
        <row r="121">
          <cell r="A121" t="str">
            <v>P.ELEPHANT EAR HALFMOON BETTA</v>
          </cell>
          <cell r="B121">
            <v>84197</v>
          </cell>
          <cell r="C121" t="str">
            <v>FANCY BETTA</v>
          </cell>
          <cell r="D121">
            <v>2137318</v>
          </cell>
          <cell r="E121" t="str">
            <v>179-112010</v>
          </cell>
          <cell r="G121" t="str">
            <v>Freshwater Fish</v>
          </cell>
        </row>
        <row r="122">
          <cell r="A122" t="str">
            <v>P.ELEPHANT EAR HALFMOON PLAKAT</v>
          </cell>
          <cell r="B122">
            <v>84197</v>
          </cell>
          <cell r="C122" t="str">
            <v>FANCY BETTA</v>
          </cell>
          <cell r="D122">
            <v>1545817</v>
          </cell>
          <cell r="E122" t="str">
            <v>179-111910</v>
          </cell>
          <cell r="G122" t="str">
            <v>Freshwater Fish</v>
          </cell>
        </row>
        <row r="123">
          <cell r="A123" t="str">
            <v>P.EMERALD CRAB</v>
          </cell>
          <cell r="B123">
            <v>85706</v>
          </cell>
          <cell r="C123" t="str">
            <v>CRUSTACEANS</v>
          </cell>
          <cell r="D123">
            <v>1373200</v>
          </cell>
          <cell r="E123" t="str">
            <v>205-1801</v>
          </cell>
          <cell r="G123" t="str">
            <v>Marine Inverts</v>
          </cell>
        </row>
        <row r="124">
          <cell r="A124" t="str">
            <v>P.EMPEROR ANGEL - AD L</v>
          </cell>
          <cell r="B124">
            <v>85401</v>
          </cell>
          <cell r="C124" t="str">
            <v>ANGELFISH</v>
          </cell>
          <cell r="D124">
            <v>1033018</v>
          </cell>
          <cell r="E124" t="str">
            <v>211-01115</v>
          </cell>
          <cell r="G124" t="str">
            <v>Marine Fish</v>
          </cell>
        </row>
        <row r="125">
          <cell r="A125" t="str">
            <v>P.EMPEROR ANGEL - AD M</v>
          </cell>
          <cell r="B125">
            <v>85401</v>
          </cell>
          <cell r="C125" t="str">
            <v>ANGELFISH</v>
          </cell>
          <cell r="D125">
            <v>1033000</v>
          </cell>
          <cell r="E125" t="str">
            <v>211-01113</v>
          </cell>
          <cell r="G125" t="str">
            <v>Marine Fish</v>
          </cell>
        </row>
        <row r="126">
          <cell r="A126" t="str">
            <v>P.EMPEROR ANGEL - AD S</v>
          </cell>
          <cell r="B126">
            <v>85401</v>
          </cell>
          <cell r="C126" t="str">
            <v>ANGELFISH</v>
          </cell>
          <cell r="D126">
            <v>1032992</v>
          </cell>
          <cell r="E126" t="str">
            <v>211-01111</v>
          </cell>
          <cell r="G126" t="str">
            <v>Marine Fish</v>
          </cell>
        </row>
        <row r="127">
          <cell r="A127" t="str">
            <v>P.EMPEROR ANGEL - JUV L</v>
          </cell>
          <cell r="B127">
            <v>85401</v>
          </cell>
          <cell r="C127" t="str">
            <v>ANGELFISH</v>
          </cell>
          <cell r="D127">
            <v>1032984</v>
          </cell>
          <cell r="E127" t="str">
            <v>211-01105</v>
          </cell>
          <cell r="G127" t="str">
            <v>Marine Fish</v>
          </cell>
        </row>
        <row r="128">
          <cell r="A128" t="str">
            <v>P.EMPEROR ANGEL - JUV M</v>
          </cell>
          <cell r="B128">
            <v>85401</v>
          </cell>
          <cell r="C128" t="str">
            <v>ANGELFISH</v>
          </cell>
          <cell r="D128">
            <v>1032976</v>
          </cell>
          <cell r="E128" t="str">
            <v>211-01103</v>
          </cell>
          <cell r="G128" t="str">
            <v>Marine Fish</v>
          </cell>
        </row>
        <row r="129">
          <cell r="A129" t="str">
            <v>P.EMPEROR ANGEL - JUV S</v>
          </cell>
          <cell r="B129">
            <v>85401</v>
          </cell>
          <cell r="C129" t="str">
            <v>ANGELFISH</v>
          </cell>
          <cell r="D129">
            <v>1032968</v>
          </cell>
          <cell r="E129" t="str">
            <v>211-01101</v>
          </cell>
          <cell r="G129" t="str">
            <v>Marine Fish</v>
          </cell>
        </row>
        <row r="130">
          <cell r="A130" t="str">
            <v>P.EXQUISITE FAIRY WRASSE</v>
          </cell>
          <cell r="B130">
            <v>85504</v>
          </cell>
          <cell r="C130" t="str">
            <v>WRASSES</v>
          </cell>
          <cell r="D130">
            <v>1373013</v>
          </cell>
          <cell r="E130" t="str">
            <v>205-45043</v>
          </cell>
          <cell r="G130" t="str">
            <v>Marine Fish</v>
          </cell>
        </row>
        <row r="131">
          <cell r="A131" t="str">
            <v>P.FEATHER DUSTER</v>
          </cell>
          <cell r="B131">
            <v>85709</v>
          </cell>
          <cell r="C131" t="str">
            <v>ASST INVERTS</v>
          </cell>
          <cell r="D131">
            <v>1033654</v>
          </cell>
          <cell r="E131" t="str">
            <v>241-8039</v>
          </cell>
          <cell r="G131" t="str">
            <v>Marine Inverts</v>
          </cell>
        </row>
        <row r="132">
          <cell r="A132" t="str">
            <v>P.FEMALE BETTA - XL</v>
          </cell>
          <cell r="B132">
            <v>84199</v>
          </cell>
          <cell r="C132" t="str">
            <v>BETTA</v>
          </cell>
          <cell r="D132">
            <v>1031767</v>
          </cell>
          <cell r="E132" t="str">
            <v>171-11065</v>
          </cell>
          <cell r="G132" t="str">
            <v>Freshwater Fish</v>
          </cell>
        </row>
        <row r="133">
          <cell r="A133" t="str">
            <v>P.FEMALE CROWNTAIL BETTAS - XL</v>
          </cell>
          <cell r="B133">
            <v>84197</v>
          </cell>
          <cell r="C133" t="str">
            <v>FANCY BETTA</v>
          </cell>
          <cell r="D133">
            <v>1031783</v>
          </cell>
          <cell r="E133" t="str">
            <v>171-11095</v>
          </cell>
          <cell r="G133" t="str">
            <v>Freshwater Fish</v>
          </cell>
        </row>
        <row r="134">
          <cell r="A134" t="str">
            <v>P.FEMALE GUPPY L - ASST.</v>
          </cell>
          <cell r="B134">
            <v>84501</v>
          </cell>
          <cell r="C134" t="str">
            <v>GUPPIES</v>
          </cell>
          <cell r="D134">
            <v>1032062</v>
          </cell>
          <cell r="E134" t="str">
            <v>111-36025</v>
          </cell>
          <cell r="G134" t="str">
            <v>Freshwater Fish</v>
          </cell>
        </row>
        <row r="135">
          <cell r="A135" t="str">
            <v>P.FIRE SHRIMP</v>
          </cell>
          <cell r="B135">
            <v>85706</v>
          </cell>
          <cell r="C135" t="str">
            <v>CRUSTACEANS</v>
          </cell>
          <cell r="D135">
            <v>1033808</v>
          </cell>
          <cell r="E135" t="str">
            <v>211-78025</v>
          </cell>
          <cell r="G135" t="str">
            <v>Marine Inverts</v>
          </cell>
        </row>
        <row r="136">
          <cell r="A136" t="str">
            <v>P.FIREMOUTH CICHLID MD</v>
          </cell>
          <cell r="B136">
            <v>84559</v>
          </cell>
          <cell r="C136" t="str">
            <v>CICHLIDS</v>
          </cell>
          <cell r="D136">
            <v>1433962</v>
          </cell>
          <cell r="E136" t="str">
            <v>147-08403</v>
          </cell>
          <cell r="G136" t="str">
            <v>Freshwater Fish</v>
          </cell>
        </row>
        <row r="137">
          <cell r="A137" t="str">
            <v>P.FOXFACE 2.5-3.5"</v>
          </cell>
          <cell r="B137">
            <v>85600</v>
          </cell>
          <cell r="C137" t="str">
            <v>LG ASSORTED MARINE FISH</v>
          </cell>
          <cell r="D137">
            <v>1397028</v>
          </cell>
          <cell r="E137" t="str">
            <v>205-99041</v>
          </cell>
          <cell r="G137" t="str">
            <v>Marine Fish</v>
          </cell>
        </row>
        <row r="138">
          <cell r="A138" t="str">
            <v>P.FOXFACE 3.5-4.5"</v>
          </cell>
          <cell r="B138">
            <v>85600</v>
          </cell>
          <cell r="C138" t="str">
            <v>LG ASSORTED MARINE FISH</v>
          </cell>
          <cell r="D138">
            <v>1397036</v>
          </cell>
          <cell r="E138" t="str">
            <v>205-99043</v>
          </cell>
          <cell r="G138" t="str">
            <v>Marine Fish</v>
          </cell>
        </row>
        <row r="139">
          <cell r="A139" t="str">
            <v>P.FOXFACE 4.5-7"</v>
          </cell>
          <cell r="B139">
            <v>85600</v>
          </cell>
          <cell r="C139" t="str">
            <v>LG ASSORTED MARINE FISH</v>
          </cell>
          <cell r="D139">
            <v>1397044</v>
          </cell>
          <cell r="E139" t="str">
            <v>205-99045</v>
          </cell>
          <cell r="G139" t="str">
            <v>Marine Fish</v>
          </cell>
        </row>
        <row r="140">
          <cell r="A140" t="str">
            <v>P.GREEN BIRD WRASSE-L</v>
          </cell>
          <cell r="B140">
            <v>85504</v>
          </cell>
          <cell r="C140" t="str">
            <v>WRASSES</v>
          </cell>
          <cell r="D140">
            <v>1307428</v>
          </cell>
          <cell r="E140" t="str">
            <v>211-45265</v>
          </cell>
          <cell r="G140" t="str">
            <v>Marine Fish</v>
          </cell>
        </row>
        <row r="141">
          <cell r="A141" t="str">
            <v>P.GREEN BIRD WRASSE-M</v>
          </cell>
          <cell r="B141">
            <v>85504</v>
          </cell>
          <cell r="C141" t="str">
            <v>WRASSES</v>
          </cell>
          <cell r="D141">
            <v>1307410</v>
          </cell>
          <cell r="E141" t="str">
            <v>211-45263</v>
          </cell>
          <cell r="G141" t="str">
            <v>Marine Fish</v>
          </cell>
        </row>
        <row r="142">
          <cell r="A142" t="str">
            <v>P.GREEN BIRD WRASSE-S</v>
          </cell>
          <cell r="B142">
            <v>85504</v>
          </cell>
          <cell r="C142" t="str">
            <v>WRASSES</v>
          </cell>
          <cell r="D142">
            <v>1307401</v>
          </cell>
          <cell r="E142" t="str">
            <v>211-45261</v>
          </cell>
          <cell r="G142" t="str">
            <v>Marine Fish</v>
          </cell>
        </row>
        <row r="143">
          <cell r="A143" t="str">
            <v>P.GREEN FEMALE CROWNTAIL BETTA</v>
          </cell>
          <cell r="B143">
            <v>84197</v>
          </cell>
          <cell r="C143" t="str">
            <v>FANCY BETTA</v>
          </cell>
          <cell r="D143">
            <v>1397710</v>
          </cell>
          <cell r="E143" t="str">
            <v>147-04825</v>
          </cell>
          <cell r="G143" t="str">
            <v>Freshwater Fish</v>
          </cell>
        </row>
        <row r="144">
          <cell r="A144" t="str">
            <v>P.GREEN FEMALE VEILTAIL BETTA</v>
          </cell>
          <cell r="B144">
            <v>84199</v>
          </cell>
          <cell r="C144" t="str">
            <v>BETTA</v>
          </cell>
          <cell r="D144">
            <v>1397648</v>
          </cell>
          <cell r="E144" t="str">
            <v>147-04625</v>
          </cell>
          <cell r="G144" t="str">
            <v>Freshwater Fish</v>
          </cell>
        </row>
        <row r="145">
          <cell r="A145" t="str">
            <v>P.GREEN MALE CROWNTAIL BETTA</v>
          </cell>
          <cell r="B145">
            <v>84197</v>
          </cell>
          <cell r="C145" t="str">
            <v>FANCY BETTA</v>
          </cell>
          <cell r="D145">
            <v>1397672</v>
          </cell>
          <cell r="E145" t="str">
            <v>147-04725</v>
          </cell>
          <cell r="G145" t="str">
            <v>Freshwater Fish</v>
          </cell>
        </row>
        <row r="146">
          <cell r="A146" t="str">
            <v>P.GREEN MALE VEILTAIL BETTA</v>
          </cell>
          <cell r="B146">
            <v>84199</v>
          </cell>
          <cell r="C146" t="str">
            <v>BETTA</v>
          </cell>
          <cell r="D146">
            <v>1397605</v>
          </cell>
          <cell r="E146" t="str">
            <v>147-04525</v>
          </cell>
          <cell r="G146" t="str">
            <v>Freshwater Fish</v>
          </cell>
        </row>
        <row r="147">
          <cell r="A147" t="str">
            <v>P.GREEN MANDARIN GOBY 1.5-2.5"</v>
          </cell>
          <cell r="B147">
            <v>85503</v>
          </cell>
          <cell r="C147" t="str">
            <v>BLENNIES &amp; GOBIES</v>
          </cell>
          <cell r="D147">
            <v>1372734</v>
          </cell>
          <cell r="E147" t="str">
            <v>205-25053</v>
          </cell>
          <cell r="G147" t="str">
            <v>Marine Fish</v>
          </cell>
        </row>
        <row r="148">
          <cell r="A148" t="str">
            <v>P.GREEN MANDARIN GOBY 2.5-4"</v>
          </cell>
          <cell r="B148">
            <v>85503</v>
          </cell>
          <cell r="C148" t="str">
            <v>BLENNIES &amp; GOBIES</v>
          </cell>
          <cell r="D148">
            <v>1372742</v>
          </cell>
          <cell r="E148" t="str">
            <v>205-25055</v>
          </cell>
          <cell r="G148" t="str">
            <v>Marine Fish</v>
          </cell>
        </row>
        <row r="149">
          <cell r="A149" t="str">
            <v>P.GREEN MANDARIN GOBY0.75-1.5"</v>
          </cell>
          <cell r="B149">
            <v>85503</v>
          </cell>
          <cell r="C149" t="str">
            <v>BLENNIES &amp; GOBIES</v>
          </cell>
          <cell r="D149">
            <v>1372726</v>
          </cell>
          <cell r="E149" t="str">
            <v>205-25051</v>
          </cell>
          <cell r="G149" t="str">
            <v>Marine Fish</v>
          </cell>
        </row>
        <row r="150">
          <cell r="A150" t="str">
            <v>P.GREEN TIGER BARB L</v>
          </cell>
          <cell r="B150">
            <v>84539</v>
          </cell>
          <cell r="C150" t="str">
            <v>BARBS</v>
          </cell>
          <cell r="D150">
            <v>1031708</v>
          </cell>
          <cell r="E150" t="str">
            <v>161-06045</v>
          </cell>
          <cell r="G150" t="str">
            <v>Freshwater Fish</v>
          </cell>
        </row>
        <row r="151">
          <cell r="A151" t="str">
            <v>P.HALFMOON BETTA MALE - XL</v>
          </cell>
          <cell r="B151">
            <v>84197</v>
          </cell>
          <cell r="C151" t="str">
            <v>FANCY BETTA</v>
          </cell>
          <cell r="D151">
            <v>1031740</v>
          </cell>
          <cell r="E151" t="str">
            <v>171-11206</v>
          </cell>
          <cell r="G151" t="str">
            <v>Freshwater Fish</v>
          </cell>
        </row>
        <row r="152">
          <cell r="A152" t="str">
            <v>P.HARLEQUIN SHRIMP 1-2"</v>
          </cell>
          <cell r="B152">
            <v>85706</v>
          </cell>
          <cell r="C152" t="str">
            <v>CRUSTACEANS</v>
          </cell>
          <cell r="D152">
            <v>1326341</v>
          </cell>
          <cell r="E152" t="str">
            <v>241-17220</v>
          </cell>
          <cell r="G152" t="str">
            <v>Marine Inverts</v>
          </cell>
        </row>
        <row r="153">
          <cell r="A153" t="str">
            <v>P.HUMU PICASSO TRIGGER 2-3"</v>
          </cell>
          <cell r="B153">
            <v>85601</v>
          </cell>
          <cell r="C153" t="str">
            <v>TRIGGERS</v>
          </cell>
          <cell r="D153">
            <v>1053205</v>
          </cell>
          <cell r="E153" t="str">
            <v>241-6608</v>
          </cell>
          <cell r="G153" t="str">
            <v>Marine Fish</v>
          </cell>
        </row>
        <row r="154">
          <cell r="A154" t="str">
            <v>P.IGNITUS ANTHIAS-FML 0.75-1.5</v>
          </cell>
          <cell r="B154">
            <v>85501</v>
          </cell>
          <cell r="C154" t="str">
            <v>SM ASSORTED MARINE FISH</v>
          </cell>
          <cell r="D154">
            <v>1372408</v>
          </cell>
          <cell r="E154" t="str">
            <v>205-03041</v>
          </cell>
          <cell r="G154" t="str">
            <v>Marine Fish</v>
          </cell>
        </row>
        <row r="155">
          <cell r="A155" t="str">
            <v>P.IGNITUS ANTHIAS-FML 1.5-2.5"</v>
          </cell>
          <cell r="B155">
            <v>85501</v>
          </cell>
          <cell r="C155" t="str">
            <v>SM ASSORTED MARINE FISH</v>
          </cell>
          <cell r="D155">
            <v>1372416</v>
          </cell>
          <cell r="E155" t="str">
            <v>205-03042</v>
          </cell>
          <cell r="G155" t="str">
            <v>Marine Fish</v>
          </cell>
        </row>
        <row r="156">
          <cell r="A156" t="str">
            <v>P.IGNITUS ANTHIAS-FML 2.5-3.5"</v>
          </cell>
          <cell r="B156">
            <v>85501</v>
          </cell>
          <cell r="C156" t="str">
            <v>SM ASSORTED MARINE FISH</v>
          </cell>
          <cell r="D156">
            <v>1372424</v>
          </cell>
          <cell r="E156" t="str">
            <v>205-03043</v>
          </cell>
          <cell r="G156" t="str">
            <v>Marine Fish</v>
          </cell>
        </row>
        <row r="157">
          <cell r="A157" t="str">
            <v>P.IGNITUS ANTHIAS-MALE 1.5-2.5</v>
          </cell>
          <cell r="B157">
            <v>85501</v>
          </cell>
          <cell r="C157" t="str">
            <v>SM ASSORTED MARINE FISH</v>
          </cell>
          <cell r="D157">
            <v>1372432</v>
          </cell>
          <cell r="E157" t="str">
            <v>205-03051</v>
          </cell>
          <cell r="G157" t="str">
            <v>Marine Fish</v>
          </cell>
        </row>
        <row r="158">
          <cell r="A158" t="str">
            <v>P.IGNITUS ANTHIAS-MALE 2.5-3.5</v>
          </cell>
          <cell r="B158">
            <v>85501</v>
          </cell>
          <cell r="C158" t="str">
            <v>SM ASSORTED MARINE FISH</v>
          </cell>
          <cell r="D158">
            <v>1372440</v>
          </cell>
          <cell r="E158" t="str">
            <v>205-03052</v>
          </cell>
          <cell r="G158" t="str">
            <v>Marine Fish</v>
          </cell>
        </row>
        <row r="159">
          <cell r="A159" t="str">
            <v>P.IGNITUS ANTHIAS-MALE 3.5-4.5</v>
          </cell>
          <cell r="B159">
            <v>85501</v>
          </cell>
          <cell r="C159" t="str">
            <v>SM ASSORTED MARINE FISH</v>
          </cell>
          <cell r="D159">
            <v>1372459</v>
          </cell>
          <cell r="E159" t="str">
            <v>205-03053</v>
          </cell>
          <cell r="G159" t="str">
            <v>Marine Fish</v>
          </cell>
        </row>
        <row r="160">
          <cell r="A160" t="str">
            <v>P.JACK DEMPSEY 2"</v>
          </cell>
          <cell r="B160">
            <v>84559</v>
          </cell>
          <cell r="C160" t="str">
            <v>CICHLIDS</v>
          </cell>
          <cell r="D160">
            <v>1031899</v>
          </cell>
          <cell r="E160" t="str">
            <v>173-162512</v>
          </cell>
          <cell r="G160" t="str">
            <v>Freshwater Fish</v>
          </cell>
        </row>
        <row r="161">
          <cell r="A161" t="str">
            <v>P.KING BETTA MALE 2.5-3.5"</v>
          </cell>
          <cell r="B161">
            <v>84197</v>
          </cell>
          <cell r="C161" t="str">
            <v>FANCY BETTA</v>
          </cell>
          <cell r="D161">
            <v>1397524</v>
          </cell>
          <cell r="E161" t="str">
            <v>147-042015</v>
          </cell>
          <cell r="G161" t="str">
            <v>Freshwater Fish</v>
          </cell>
        </row>
        <row r="162">
          <cell r="A162" t="str">
            <v>P.KING HALFMOON BETTA MALE 3.5</v>
          </cell>
          <cell r="B162">
            <v>84197</v>
          </cell>
          <cell r="C162" t="str">
            <v>FANCY BETTA</v>
          </cell>
          <cell r="D162">
            <v>1397532</v>
          </cell>
          <cell r="E162" t="str">
            <v>147-04345</v>
          </cell>
          <cell r="G162" t="str">
            <v>Freshwater Fish</v>
          </cell>
        </row>
        <row r="163">
          <cell r="A163" t="str">
            <v>P.KLEIN'S BUTTERFLY-L</v>
          </cell>
          <cell r="B163">
            <v>85402</v>
          </cell>
          <cell r="C163" t="str">
            <v>BUTTERFLIES</v>
          </cell>
          <cell r="D163">
            <v>1037030</v>
          </cell>
          <cell r="E163" t="str">
            <v>211-11075</v>
          </cell>
          <cell r="G163" t="str">
            <v>Marine Fish</v>
          </cell>
        </row>
        <row r="164">
          <cell r="A164" t="str">
            <v>P.KLEIN'S BUTTERFLY-M</v>
          </cell>
          <cell r="B164">
            <v>85402</v>
          </cell>
          <cell r="C164" t="str">
            <v>BUTTERFLIES</v>
          </cell>
          <cell r="D164">
            <v>1037021</v>
          </cell>
          <cell r="E164" t="str">
            <v>211-11073</v>
          </cell>
          <cell r="G164" t="str">
            <v>Marine Fish</v>
          </cell>
        </row>
        <row r="165">
          <cell r="A165" t="str">
            <v>P.KLEIN'S BUTTERFLY-S</v>
          </cell>
          <cell r="B165">
            <v>85402</v>
          </cell>
          <cell r="C165" t="str">
            <v>BUTTERFLIES</v>
          </cell>
          <cell r="D165">
            <v>1037013</v>
          </cell>
          <cell r="E165" t="str">
            <v>211-11071</v>
          </cell>
          <cell r="G165" t="str">
            <v>Marine Fish</v>
          </cell>
        </row>
        <row r="166">
          <cell r="A166" t="str">
            <v>P.LAWNMOWER BLENNY - L</v>
          </cell>
          <cell r="B166">
            <v>85503</v>
          </cell>
          <cell r="C166" t="str">
            <v>BLENNIES &amp; GOBIES</v>
          </cell>
          <cell r="D166">
            <v>1215213</v>
          </cell>
          <cell r="E166" t="str">
            <v>253-9519</v>
          </cell>
          <cell r="G166" t="str">
            <v>Marine Fish</v>
          </cell>
        </row>
        <row r="167">
          <cell r="A167" t="str">
            <v>P.LAWNMOWER BLENNY - M</v>
          </cell>
          <cell r="B167">
            <v>85503</v>
          </cell>
          <cell r="C167" t="str">
            <v>BLENNIES &amp; GOBIES</v>
          </cell>
          <cell r="D167">
            <v>1215205</v>
          </cell>
          <cell r="E167" t="str">
            <v>253-9518</v>
          </cell>
          <cell r="G167" t="str">
            <v>Marine Fish</v>
          </cell>
        </row>
        <row r="168">
          <cell r="A168" t="str">
            <v>P.LAWNMOWER BLENNY - S</v>
          </cell>
          <cell r="B168">
            <v>85503</v>
          </cell>
          <cell r="C168" t="str">
            <v>BLENNIES &amp; GOBIES</v>
          </cell>
          <cell r="D168">
            <v>1215191</v>
          </cell>
          <cell r="E168" t="str">
            <v>253-9517</v>
          </cell>
          <cell r="G168" t="str">
            <v>Marine Fish</v>
          </cell>
        </row>
        <row r="169">
          <cell r="A169" t="str">
            <v>P.LONG SPINE URCHIN 2.5-5"</v>
          </cell>
          <cell r="B169">
            <v>85709</v>
          </cell>
          <cell r="C169" t="str">
            <v>ASST INVERTS</v>
          </cell>
          <cell r="D169">
            <v>1324969</v>
          </cell>
          <cell r="E169" t="str">
            <v>205-48024</v>
          </cell>
          <cell r="G169" t="str">
            <v>Marine Inverts</v>
          </cell>
        </row>
        <row r="170">
          <cell r="A170" t="str">
            <v>P.LONGSPINE URCHIN 1.5-2.5"</v>
          </cell>
          <cell r="B170">
            <v>85709</v>
          </cell>
          <cell r="C170" t="str">
            <v>ASST INVERTS</v>
          </cell>
          <cell r="D170">
            <v>1373323</v>
          </cell>
          <cell r="E170" t="str">
            <v>205-48022</v>
          </cell>
          <cell r="G170" t="str">
            <v>Marine Inverts</v>
          </cell>
        </row>
        <row r="171">
          <cell r="A171" t="str">
            <v>P.LYRETAIL ANTHIAS - FEMALE</v>
          </cell>
          <cell r="B171">
            <v>85501</v>
          </cell>
          <cell r="C171" t="str">
            <v>SM ASSORTED MARINE FISH</v>
          </cell>
          <cell r="D171">
            <v>1033115</v>
          </cell>
          <cell r="E171" t="str">
            <v>211-06023</v>
          </cell>
          <cell r="G171" t="str">
            <v>Marine Fish</v>
          </cell>
        </row>
        <row r="172">
          <cell r="A172" t="str">
            <v>P.LYRETAIL ANTHIAS - MALE</v>
          </cell>
          <cell r="B172">
            <v>85501</v>
          </cell>
          <cell r="C172" t="str">
            <v>SM ASSORTED MARINE FISH</v>
          </cell>
          <cell r="D172">
            <v>1033123</v>
          </cell>
          <cell r="E172" t="str">
            <v>211-06013</v>
          </cell>
          <cell r="G172" t="str">
            <v>Marine Fish</v>
          </cell>
        </row>
        <row r="173">
          <cell r="A173" t="str">
            <v>P.LYRETAIL GUPPY</v>
          </cell>
          <cell r="B173">
            <v>84501</v>
          </cell>
          <cell r="C173" t="str">
            <v>GUPPIES</v>
          </cell>
          <cell r="D173">
            <v>1433610</v>
          </cell>
          <cell r="E173" t="str">
            <v>111-36316</v>
          </cell>
          <cell r="G173" t="str">
            <v>Freshwater Fish</v>
          </cell>
        </row>
        <row r="174">
          <cell r="A174" t="str">
            <v>P.MAGNIFICENT FOXFACE 2-3"</v>
          </cell>
          <cell r="B174">
            <v>85600</v>
          </cell>
          <cell r="C174" t="str">
            <v>LG ASSORTED MARINE FISH</v>
          </cell>
          <cell r="D174">
            <v>1397133</v>
          </cell>
          <cell r="E174" t="str">
            <v>205-99081</v>
          </cell>
          <cell r="G174" t="str">
            <v>Marine Fish</v>
          </cell>
        </row>
        <row r="175">
          <cell r="A175" t="str">
            <v>P.MAGNIFICENT FOXFACE 3-5"</v>
          </cell>
          <cell r="B175">
            <v>85600</v>
          </cell>
          <cell r="C175" t="str">
            <v>LG ASSORTED MARINE FISH</v>
          </cell>
          <cell r="D175">
            <v>1397141</v>
          </cell>
          <cell r="E175" t="str">
            <v>205-99083</v>
          </cell>
          <cell r="G175" t="str">
            <v>Marine Fish</v>
          </cell>
        </row>
        <row r="176">
          <cell r="A176" t="str">
            <v>P.MAGNIFICENT FOXFACE 5-7"</v>
          </cell>
          <cell r="B176">
            <v>85600</v>
          </cell>
          <cell r="C176" t="str">
            <v>LG ASSORTED MARINE FISH</v>
          </cell>
          <cell r="D176">
            <v>1397150</v>
          </cell>
          <cell r="E176" t="str">
            <v>205-99085</v>
          </cell>
          <cell r="G176" t="str">
            <v>Marine Fish</v>
          </cell>
        </row>
        <row r="177">
          <cell r="A177" t="str">
            <v>P.MAJESTIC ANGEL 2.5-3.5"</v>
          </cell>
          <cell r="B177">
            <v>85401</v>
          </cell>
          <cell r="C177" t="str">
            <v>ANGELFISH</v>
          </cell>
          <cell r="D177">
            <v>1372300</v>
          </cell>
          <cell r="E177" t="str">
            <v>205-01052</v>
          </cell>
          <cell r="F177" t="str">
            <v>Juvenile</v>
          </cell>
          <cell r="G177" t="str">
            <v>Marine Fish</v>
          </cell>
        </row>
        <row r="178">
          <cell r="A178" t="str">
            <v>P.MAJESTIC ANGEL 3.5-4.5"</v>
          </cell>
          <cell r="B178">
            <v>85401</v>
          </cell>
          <cell r="C178" t="str">
            <v>ANGELFISH</v>
          </cell>
          <cell r="D178">
            <v>1372319</v>
          </cell>
          <cell r="E178" t="str">
            <v>205-01053</v>
          </cell>
          <cell r="F178" t="str">
            <v>Adult</v>
          </cell>
          <cell r="G178" t="str">
            <v>Marine Fish</v>
          </cell>
        </row>
        <row r="179">
          <cell r="A179" t="str">
            <v>P.MAJESTIC ANGEL 4.5-5.5"</v>
          </cell>
          <cell r="B179">
            <v>85401</v>
          </cell>
          <cell r="C179" t="str">
            <v>ANGELFISH</v>
          </cell>
          <cell r="D179">
            <v>1372327</v>
          </cell>
          <cell r="E179" t="str">
            <v>205-01054</v>
          </cell>
          <cell r="F179" t="str">
            <v>Adult</v>
          </cell>
          <cell r="G179" t="str">
            <v>Marine Fish</v>
          </cell>
        </row>
        <row r="180">
          <cell r="A180" t="str">
            <v>P.MALE BETTA - XL</v>
          </cell>
          <cell r="B180">
            <v>84199</v>
          </cell>
          <cell r="C180" t="str">
            <v>BETTA</v>
          </cell>
          <cell r="D180">
            <v>1031759</v>
          </cell>
          <cell r="E180" t="str">
            <v>171-11016</v>
          </cell>
          <cell r="G180" t="str">
            <v>Freshwater Fish</v>
          </cell>
        </row>
        <row r="181">
          <cell r="A181" t="str">
            <v>P.MALE GUPPY L - ASST.</v>
          </cell>
          <cell r="B181">
            <v>84501</v>
          </cell>
          <cell r="C181" t="str">
            <v>GUPPIES</v>
          </cell>
          <cell r="D181">
            <v>1032070</v>
          </cell>
          <cell r="E181" t="str">
            <v>111-36015</v>
          </cell>
          <cell r="G181" t="str">
            <v>Freshwater Fish</v>
          </cell>
        </row>
        <row r="182">
          <cell r="A182" t="str">
            <v>P.MARGARITA SNAIL</v>
          </cell>
          <cell r="B182">
            <v>85705</v>
          </cell>
          <cell r="C182" t="str">
            <v>SNAILS</v>
          </cell>
          <cell r="D182">
            <v>1033751</v>
          </cell>
          <cell r="E182" t="str">
            <v>200-1008</v>
          </cell>
          <cell r="G182" t="str">
            <v>Marine Inverts</v>
          </cell>
        </row>
        <row r="183">
          <cell r="A183" t="str">
            <v>P.MATTED FILEFISH 1.5-2"</v>
          </cell>
          <cell r="B183">
            <v>85600</v>
          </cell>
          <cell r="C183" t="str">
            <v>LG ASSORTED MARINE FISH</v>
          </cell>
          <cell r="D183">
            <v>1372688</v>
          </cell>
          <cell r="E183" t="str">
            <v>205-23011</v>
          </cell>
          <cell r="G183" t="str">
            <v>Marine Fish</v>
          </cell>
        </row>
        <row r="184">
          <cell r="A184" t="str">
            <v>P.MATTED FILEFISH 2-3"</v>
          </cell>
          <cell r="B184">
            <v>85600</v>
          </cell>
          <cell r="C184" t="str">
            <v>LG ASSORTED MARINE FISH</v>
          </cell>
          <cell r="D184">
            <v>1372696</v>
          </cell>
          <cell r="E184" t="str">
            <v>205-23012</v>
          </cell>
          <cell r="G184" t="str">
            <v>Marine Fish</v>
          </cell>
        </row>
        <row r="185">
          <cell r="A185" t="str">
            <v>P.MATTED FILEFISH 3-4"</v>
          </cell>
          <cell r="B185">
            <v>85600</v>
          </cell>
          <cell r="C185" t="str">
            <v>LG ASSORTED MARINE FISH</v>
          </cell>
          <cell r="D185">
            <v>1372700</v>
          </cell>
          <cell r="E185" t="str">
            <v>205-23014</v>
          </cell>
          <cell r="G185" t="str">
            <v>Marine Fish</v>
          </cell>
        </row>
        <row r="186">
          <cell r="A186" t="str">
            <v>P.MIDAS BLENNY-L</v>
          </cell>
          <cell r="B186">
            <v>85503</v>
          </cell>
          <cell r="C186" t="str">
            <v>BLENNIES &amp; GOBIES</v>
          </cell>
          <cell r="D186">
            <v>1037226</v>
          </cell>
          <cell r="E186" t="str">
            <v>201-25595</v>
          </cell>
          <cell r="G186" t="str">
            <v>Marine Fish</v>
          </cell>
        </row>
        <row r="187">
          <cell r="A187" t="str">
            <v>P.MIDAS BLENNY-M</v>
          </cell>
          <cell r="B187">
            <v>85503</v>
          </cell>
          <cell r="C187" t="str">
            <v>BLENNIES &amp; GOBIES</v>
          </cell>
          <cell r="D187">
            <v>1037218</v>
          </cell>
          <cell r="E187" t="str">
            <v>201-25593</v>
          </cell>
          <cell r="G187" t="str">
            <v>Marine Fish</v>
          </cell>
        </row>
        <row r="188">
          <cell r="A188" t="str">
            <v>P.MIDAS BLENNY-S</v>
          </cell>
          <cell r="B188">
            <v>85503</v>
          </cell>
          <cell r="C188" t="str">
            <v>BLENNIES &amp; GOBIES</v>
          </cell>
          <cell r="D188">
            <v>1037200</v>
          </cell>
          <cell r="E188" t="str">
            <v>201-25591</v>
          </cell>
          <cell r="G188" t="str">
            <v>Marine Fish</v>
          </cell>
        </row>
        <row r="189">
          <cell r="A189" t="str">
            <v>P.MINI CARPET ANEMONE</v>
          </cell>
          <cell r="B189">
            <v>85708</v>
          </cell>
          <cell r="C189" t="str">
            <v>ANEMONES</v>
          </cell>
          <cell r="D189">
            <v>1434349</v>
          </cell>
          <cell r="E189" t="str">
            <v>376-0057</v>
          </cell>
          <cell r="G189" t="str">
            <v>Marine Inverts</v>
          </cell>
        </row>
        <row r="190">
          <cell r="A190" t="str">
            <v>P.NASO TANG - L</v>
          </cell>
          <cell r="B190">
            <v>85300</v>
          </cell>
          <cell r="C190" t="str">
            <v>TANGS</v>
          </cell>
          <cell r="D190">
            <v>1215345</v>
          </cell>
          <cell r="E190" t="str">
            <v>217-56095</v>
          </cell>
          <cell r="G190" t="str">
            <v>Marine Fish</v>
          </cell>
        </row>
        <row r="191">
          <cell r="A191" t="str">
            <v>P.NASO TANG - M</v>
          </cell>
          <cell r="B191">
            <v>85300</v>
          </cell>
          <cell r="C191" t="str">
            <v>TANGS</v>
          </cell>
          <cell r="D191">
            <v>1215337</v>
          </cell>
          <cell r="E191" t="str">
            <v>217-56093</v>
          </cell>
          <cell r="G191" t="str">
            <v>Marine Fish</v>
          </cell>
        </row>
        <row r="192">
          <cell r="A192" t="str">
            <v>P.NASO TANG - S</v>
          </cell>
          <cell r="B192">
            <v>85300</v>
          </cell>
          <cell r="C192" t="str">
            <v>TANGS</v>
          </cell>
          <cell r="D192">
            <v>1215329</v>
          </cell>
          <cell r="E192" t="str">
            <v>217-56091</v>
          </cell>
          <cell r="G192" t="str">
            <v>Marine Fish</v>
          </cell>
        </row>
        <row r="193">
          <cell r="A193" t="str">
            <v>P.NASSARIUS SNAIL</v>
          </cell>
          <cell r="B193">
            <v>85705</v>
          </cell>
          <cell r="C193" t="str">
            <v>SNAILS</v>
          </cell>
          <cell r="D193">
            <v>1038052</v>
          </cell>
          <cell r="E193" t="str">
            <v>200-1003</v>
          </cell>
          <cell r="G193" t="str">
            <v>Marine Inverts</v>
          </cell>
        </row>
        <row r="194">
          <cell r="A194" t="str">
            <v>P.NEON STRIPE BLUE HERMIT</v>
          </cell>
          <cell r="B194">
            <v>85706</v>
          </cell>
          <cell r="C194" t="str">
            <v>CRUSTACEANS</v>
          </cell>
          <cell r="D194">
            <v>1373218</v>
          </cell>
          <cell r="E194" t="str">
            <v>205-1802</v>
          </cell>
          <cell r="G194" t="str">
            <v>Marine Inverts</v>
          </cell>
        </row>
        <row r="195">
          <cell r="A195" t="str">
            <v>P.NEON TETRA LG</v>
          </cell>
          <cell r="B195">
            <v>84519</v>
          </cell>
          <cell r="C195" t="str">
            <v>TETRAS</v>
          </cell>
          <cell r="D195">
            <v>1032321</v>
          </cell>
          <cell r="E195" t="str">
            <v>181-71016</v>
          </cell>
          <cell r="G195" t="str">
            <v>Freshwater Fish</v>
          </cell>
        </row>
        <row r="196">
          <cell r="A196" t="str">
            <v>P.NERITE SNAIL</v>
          </cell>
          <cell r="B196">
            <v>85705</v>
          </cell>
          <cell r="C196" t="str">
            <v>SNAILS</v>
          </cell>
          <cell r="D196">
            <v>1033760</v>
          </cell>
          <cell r="E196" t="str">
            <v>200-1003</v>
          </cell>
          <cell r="G196" t="str">
            <v>Marine Inverts</v>
          </cell>
        </row>
        <row r="197">
          <cell r="A197" t="str">
            <v>P.ODONUS NIGER TRIGGER 2-3"</v>
          </cell>
          <cell r="B197">
            <v>85601</v>
          </cell>
          <cell r="C197" t="str">
            <v>TRIGGERS</v>
          </cell>
          <cell r="D197">
            <v>1053213</v>
          </cell>
          <cell r="E197" t="str">
            <v>211-66043</v>
          </cell>
          <cell r="G197" t="str">
            <v>Marine Fish</v>
          </cell>
        </row>
        <row r="198">
          <cell r="A198" t="str">
            <v>P.ORANGE BEE SHRIMP 0.5-1"</v>
          </cell>
          <cell r="B198">
            <v>84399</v>
          </cell>
          <cell r="C198" t="str">
            <v>AMPH/CRUST/SNAIL</v>
          </cell>
          <cell r="D198">
            <v>2379763</v>
          </cell>
          <cell r="E198" t="str">
            <v>147-90167</v>
          </cell>
          <cell r="G198" t="str">
            <v>Freshwater Inverts</v>
          </cell>
        </row>
        <row r="199">
          <cell r="A199" t="str">
            <v>P.ORANGE TUBE ANEMONE 2-3"</v>
          </cell>
          <cell r="B199">
            <v>85708</v>
          </cell>
          <cell r="C199" t="str">
            <v>ANEMONES</v>
          </cell>
          <cell r="D199">
            <v>1322907</v>
          </cell>
          <cell r="E199" t="str">
            <v>352-80111</v>
          </cell>
          <cell r="G199" t="str">
            <v>Marine Inverts</v>
          </cell>
        </row>
        <row r="200">
          <cell r="A200" t="str">
            <v>P.ORANGE TUBE ANEMONE 3-5"</v>
          </cell>
          <cell r="B200">
            <v>85708</v>
          </cell>
          <cell r="C200" t="str">
            <v>ANEMONES</v>
          </cell>
          <cell r="D200">
            <v>1322915</v>
          </cell>
          <cell r="E200" t="str">
            <v>352-80113</v>
          </cell>
          <cell r="G200" t="str">
            <v>Marine Inverts</v>
          </cell>
        </row>
        <row r="201">
          <cell r="A201" t="str">
            <v>P.ORANGESHOULDER TANG 2.5-3.5"</v>
          </cell>
          <cell r="B201">
            <v>85300</v>
          </cell>
          <cell r="C201" t="str">
            <v>TANGS</v>
          </cell>
          <cell r="D201">
            <v>1372963</v>
          </cell>
          <cell r="E201" t="str">
            <v>205-39023</v>
          </cell>
          <cell r="G201" t="str">
            <v>Marine Fish</v>
          </cell>
        </row>
        <row r="202">
          <cell r="A202" t="str">
            <v>P.ORANGESHOULDER TANG 3.5-4.5"</v>
          </cell>
          <cell r="B202">
            <v>85300</v>
          </cell>
          <cell r="C202" t="str">
            <v>TANGS</v>
          </cell>
          <cell r="D202">
            <v>1372971</v>
          </cell>
          <cell r="E202" t="str">
            <v>205-39024</v>
          </cell>
          <cell r="G202" t="str">
            <v>Marine Fish</v>
          </cell>
        </row>
        <row r="203">
          <cell r="A203" t="str">
            <v>P.ORANGESHOULDER TANG 4.5-5.5"</v>
          </cell>
          <cell r="B203">
            <v>85300</v>
          </cell>
          <cell r="C203" t="str">
            <v>TANGS</v>
          </cell>
          <cell r="D203">
            <v>1372980</v>
          </cell>
          <cell r="E203" t="str">
            <v>205-39025</v>
          </cell>
          <cell r="G203" t="str">
            <v>Marine Fish</v>
          </cell>
        </row>
        <row r="204">
          <cell r="A204" t="str">
            <v>P.PANDA GOBY</v>
          </cell>
          <cell r="B204">
            <v>85503</v>
          </cell>
          <cell r="C204" t="str">
            <v>BLENNIES &amp; GOBIES</v>
          </cell>
          <cell r="D204">
            <v>1372769</v>
          </cell>
          <cell r="E204" t="str">
            <v>205-2507</v>
          </cell>
          <cell r="G204" t="str">
            <v>Marine Fish</v>
          </cell>
        </row>
        <row r="205">
          <cell r="A205" t="str">
            <v>P.PEARL GOURAMI MD</v>
          </cell>
          <cell r="B205">
            <v>84549</v>
          </cell>
          <cell r="C205" t="str">
            <v>GOURAMIS</v>
          </cell>
          <cell r="D205">
            <v>1433601</v>
          </cell>
          <cell r="E205" t="str">
            <v>111-31045</v>
          </cell>
          <cell r="G205" t="str">
            <v>Freshwater Fish</v>
          </cell>
        </row>
        <row r="206">
          <cell r="A206" t="str">
            <v>P.PEARL GOURAMI SM</v>
          </cell>
          <cell r="B206">
            <v>84549</v>
          </cell>
          <cell r="C206" t="str">
            <v>GOURAMIS</v>
          </cell>
          <cell r="D206">
            <v>1433598</v>
          </cell>
          <cell r="E206" t="str">
            <v>111-31043</v>
          </cell>
          <cell r="G206" t="str">
            <v>Freshwater Fish</v>
          </cell>
        </row>
        <row r="207">
          <cell r="A207" t="str">
            <v>P.PENCIL URCHIN</v>
          </cell>
          <cell r="B207">
            <v>85709</v>
          </cell>
          <cell r="C207" t="str">
            <v>ASST INVERTS</v>
          </cell>
          <cell r="D207">
            <v>1373331</v>
          </cell>
          <cell r="E207" t="str">
            <v>205-4803</v>
          </cell>
          <cell r="G207" t="str">
            <v>Marine Inverts</v>
          </cell>
        </row>
        <row r="208">
          <cell r="A208" t="str">
            <v>P.PEPPERMINT SHRIMP</v>
          </cell>
          <cell r="B208">
            <v>85706</v>
          </cell>
          <cell r="C208" t="str">
            <v>CRUSTACEANS</v>
          </cell>
          <cell r="D208">
            <v>1373269</v>
          </cell>
          <cell r="E208" t="str">
            <v>205-1703</v>
          </cell>
          <cell r="G208" t="str">
            <v>Marine Inverts</v>
          </cell>
        </row>
        <row r="209">
          <cell r="A209" t="str">
            <v>P.PISTOL SHRIMP 1-2"</v>
          </cell>
          <cell r="B209">
            <v>85706</v>
          </cell>
          <cell r="C209" t="str">
            <v>CRUSTACEANS</v>
          </cell>
          <cell r="D209">
            <v>1326295</v>
          </cell>
          <cell r="E209" t="str">
            <v>241-17210</v>
          </cell>
          <cell r="G209" t="str">
            <v>Marine Inverts</v>
          </cell>
        </row>
        <row r="210">
          <cell r="A210" t="str">
            <v>P.PLAKAT DOUBLETAIL HALFMOON M</v>
          </cell>
          <cell r="B210">
            <v>84197</v>
          </cell>
          <cell r="C210" t="str">
            <v>FANCY BETTA</v>
          </cell>
          <cell r="D210">
            <v>1397575</v>
          </cell>
          <cell r="E210" t="str">
            <v>147-04325</v>
          </cell>
          <cell r="G210" t="str">
            <v>Freshwater Fish</v>
          </cell>
        </row>
        <row r="211">
          <cell r="A211" t="str">
            <v>P.PLAKAT HALFMOON BETTA MALE</v>
          </cell>
          <cell r="B211">
            <v>84197</v>
          </cell>
          <cell r="C211" t="str">
            <v>FANCY BETTA</v>
          </cell>
          <cell r="D211">
            <v>1397567</v>
          </cell>
          <cell r="E211" t="str">
            <v>147-04335</v>
          </cell>
          <cell r="G211" t="str">
            <v>Freshwater Fish</v>
          </cell>
        </row>
        <row r="212">
          <cell r="A212" t="str">
            <v>P.PLECOSTOMUS 3"</v>
          </cell>
          <cell r="B212">
            <v>84491</v>
          </cell>
          <cell r="C212" t="str">
            <v>PLECOS &amp; ALGAE EATERS</v>
          </cell>
          <cell r="D212">
            <v>1032216</v>
          </cell>
          <cell r="E212" t="str">
            <v>171-510614</v>
          </cell>
          <cell r="G212" t="str">
            <v>Freshwater Fish</v>
          </cell>
        </row>
        <row r="213">
          <cell r="A213" t="str">
            <v>P.POWDER BLUE L</v>
          </cell>
          <cell r="B213">
            <v>85300</v>
          </cell>
          <cell r="C213" t="str">
            <v>TANGS</v>
          </cell>
          <cell r="D213">
            <v>1033409</v>
          </cell>
          <cell r="E213" t="str">
            <v>211-56015</v>
          </cell>
          <cell r="G213" t="str">
            <v>Marine Fish</v>
          </cell>
        </row>
        <row r="214">
          <cell r="A214" t="str">
            <v>P.POWDER BLUE M</v>
          </cell>
          <cell r="B214">
            <v>85300</v>
          </cell>
          <cell r="C214" t="str">
            <v>TANGS</v>
          </cell>
          <cell r="D214">
            <v>1033395</v>
          </cell>
          <cell r="E214" t="str">
            <v>211-56013</v>
          </cell>
          <cell r="G214" t="str">
            <v>Marine Fish</v>
          </cell>
        </row>
        <row r="215">
          <cell r="A215" t="str">
            <v>P.POWDER BLUE S</v>
          </cell>
          <cell r="B215">
            <v>85300</v>
          </cell>
          <cell r="C215" t="str">
            <v>TANGS</v>
          </cell>
          <cell r="D215">
            <v>1033387</v>
          </cell>
          <cell r="E215" t="str">
            <v>211-56011</v>
          </cell>
          <cell r="G215" t="str">
            <v>Marine Fish</v>
          </cell>
        </row>
        <row r="216">
          <cell r="A216" t="str">
            <v>P.POWDER BROWN TANG - L</v>
          </cell>
          <cell r="B216">
            <v>85300</v>
          </cell>
          <cell r="C216" t="str">
            <v>TANGS</v>
          </cell>
          <cell r="D216">
            <v>1215400</v>
          </cell>
          <cell r="E216" t="str">
            <v>241-5608</v>
          </cell>
          <cell r="G216" t="str">
            <v>Marine Fish</v>
          </cell>
        </row>
        <row r="217">
          <cell r="A217" t="str">
            <v>P.POWDER BROWN TANG - M</v>
          </cell>
          <cell r="B217">
            <v>85300</v>
          </cell>
          <cell r="C217" t="str">
            <v>TANGS</v>
          </cell>
          <cell r="D217">
            <v>1215396</v>
          </cell>
          <cell r="E217" t="str">
            <v>241-5607</v>
          </cell>
          <cell r="G217" t="str">
            <v>Marine Fish</v>
          </cell>
        </row>
        <row r="218">
          <cell r="A218" t="str">
            <v>P.POWDER BROWN TANG - S</v>
          </cell>
          <cell r="B218">
            <v>85300</v>
          </cell>
          <cell r="C218" t="str">
            <v>TANGS</v>
          </cell>
          <cell r="D218">
            <v>1215388</v>
          </cell>
          <cell r="E218" t="str">
            <v>241-5606</v>
          </cell>
          <cell r="G218" t="str">
            <v>Marine Fish</v>
          </cell>
        </row>
        <row r="219">
          <cell r="A219" t="str">
            <v>P.PRPL TIP SEBAE ANEMONE 2-3"</v>
          </cell>
          <cell r="B219">
            <v>85708</v>
          </cell>
          <cell r="C219" t="str">
            <v>ANEMONES</v>
          </cell>
          <cell r="D219">
            <v>1325213</v>
          </cell>
          <cell r="E219" t="str">
            <v>241-27227</v>
          </cell>
          <cell r="G219" t="str">
            <v>Marine Inverts</v>
          </cell>
        </row>
        <row r="220">
          <cell r="A220" t="str">
            <v>P.PURPLE LOBSTER - L</v>
          </cell>
          <cell r="B220">
            <v>85706</v>
          </cell>
          <cell r="C220" t="str">
            <v>CRUSTACEANS</v>
          </cell>
          <cell r="D220">
            <v>1038036</v>
          </cell>
          <cell r="E220" t="str">
            <v>253-9230</v>
          </cell>
          <cell r="G220" t="str">
            <v>Marine Inverts</v>
          </cell>
        </row>
        <row r="221">
          <cell r="A221" t="str">
            <v>P.PURPLE LOBSTER - M</v>
          </cell>
          <cell r="B221">
            <v>85706</v>
          </cell>
          <cell r="C221" t="str">
            <v>CRUSTACEANS</v>
          </cell>
          <cell r="D221">
            <v>1038028</v>
          </cell>
          <cell r="E221" t="str">
            <v>253-9229</v>
          </cell>
          <cell r="G221" t="str">
            <v>Marine Inverts</v>
          </cell>
        </row>
        <row r="222">
          <cell r="A222" t="str">
            <v>P.PURPLE LOBSTER - S</v>
          </cell>
          <cell r="B222">
            <v>85706</v>
          </cell>
          <cell r="C222" t="str">
            <v>CRUSTACEANS</v>
          </cell>
          <cell r="D222">
            <v>1038010</v>
          </cell>
          <cell r="E222" t="str">
            <v>253-9207</v>
          </cell>
          <cell r="G222" t="str">
            <v>Marine Inverts</v>
          </cell>
        </row>
        <row r="223">
          <cell r="A223" t="str">
            <v>P.PURPLE TUBE ANEMONE 2-3"</v>
          </cell>
          <cell r="B223">
            <v>85708</v>
          </cell>
          <cell r="C223" t="str">
            <v>ANEMONES</v>
          </cell>
          <cell r="D223">
            <v>1322923</v>
          </cell>
          <cell r="E223" t="str">
            <v>352-8012</v>
          </cell>
          <cell r="G223" t="str">
            <v>Marine Inverts</v>
          </cell>
        </row>
        <row r="224">
          <cell r="A224" t="str">
            <v>P.RACCOON BUTTERFLY 3-4"</v>
          </cell>
          <cell r="B224">
            <v>85402</v>
          </cell>
          <cell r="C224" t="str">
            <v>BUTTERFLIES</v>
          </cell>
          <cell r="D224">
            <v>1053264</v>
          </cell>
          <cell r="E224" t="str">
            <v>252-21063</v>
          </cell>
          <cell r="G224" t="str">
            <v>Marine Fish</v>
          </cell>
        </row>
        <row r="225">
          <cell r="A225" t="str">
            <v>P.RADIATA LIONFISH 3-5"</v>
          </cell>
          <cell r="B225">
            <v>85600</v>
          </cell>
          <cell r="C225" t="str">
            <v>LG ASSORTED MARINE FISH</v>
          </cell>
          <cell r="D225">
            <v>1053272</v>
          </cell>
          <cell r="E225" t="str">
            <v>252-46993</v>
          </cell>
          <cell r="G225" t="str">
            <v>Marine Fish</v>
          </cell>
        </row>
        <row r="226">
          <cell r="A226" t="str">
            <v>P.RAINBOW SHARK 2"</v>
          </cell>
          <cell r="B226">
            <v>84499</v>
          </cell>
          <cell r="C226" t="str">
            <v>CATFISH, SHARKS &amp; LOACHES</v>
          </cell>
          <cell r="D226">
            <v>1032275</v>
          </cell>
          <cell r="E226" t="str">
            <v>173-61048</v>
          </cell>
          <cell r="G226" t="str">
            <v>Freshwater Fish</v>
          </cell>
        </row>
        <row r="227">
          <cell r="A227" t="str">
            <v>P.RAINFORD GOBY</v>
          </cell>
          <cell r="B227">
            <v>85503</v>
          </cell>
          <cell r="C227" t="str">
            <v>BLENNIES &amp; GOBIES</v>
          </cell>
          <cell r="D227">
            <v>1037846</v>
          </cell>
          <cell r="E227" t="str">
            <v>211-25393</v>
          </cell>
          <cell r="G227" t="str">
            <v>Marine Fish</v>
          </cell>
        </row>
        <row r="228">
          <cell r="A228" t="str">
            <v>P.RANDALL'S GOBY</v>
          </cell>
          <cell r="B228">
            <v>85503</v>
          </cell>
          <cell r="C228" t="str">
            <v>BLENNIES &amp; GOBIES</v>
          </cell>
          <cell r="D228">
            <v>1037145</v>
          </cell>
          <cell r="E228" t="str">
            <v>253-95233</v>
          </cell>
          <cell r="G228" t="str">
            <v>Marine Fish</v>
          </cell>
        </row>
        <row r="229">
          <cell r="A229" t="str">
            <v>P.RED &amp; WHITE SHRIMP 0.5-1"</v>
          </cell>
          <cell r="B229">
            <v>84399</v>
          </cell>
          <cell r="C229" t="str">
            <v>AMPH/CRUST/SNAIL</v>
          </cell>
          <cell r="D229">
            <v>2379771</v>
          </cell>
          <cell r="E229" t="str">
            <v>147-90183</v>
          </cell>
          <cell r="G229" t="str">
            <v>Freshwater Inverts</v>
          </cell>
        </row>
        <row r="230">
          <cell r="A230" t="str">
            <v>P.RED BLONDE GUPPY - XL</v>
          </cell>
          <cell r="B230">
            <v>84501</v>
          </cell>
          <cell r="C230" t="str">
            <v>GUPPIES</v>
          </cell>
          <cell r="D230">
            <v>1032097</v>
          </cell>
          <cell r="E230" t="str">
            <v>111-36066</v>
          </cell>
          <cell r="G230" t="str">
            <v>Freshwater Fish</v>
          </cell>
        </row>
        <row r="231">
          <cell r="A231" t="str">
            <v>P.RED CORIS WRASSE - ADULT - L</v>
          </cell>
          <cell r="B231">
            <v>85504</v>
          </cell>
          <cell r="C231" t="str">
            <v>WRASSES</v>
          </cell>
          <cell r="D231">
            <v>1215523</v>
          </cell>
          <cell r="E231" t="str">
            <v>111-36143</v>
          </cell>
          <cell r="G231" t="str">
            <v>Marine Fish</v>
          </cell>
        </row>
        <row r="232">
          <cell r="A232" t="str">
            <v>P.RED CORIS WRASSE - ADULT - M</v>
          </cell>
          <cell r="B232">
            <v>85504</v>
          </cell>
          <cell r="C232" t="str">
            <v>WRASSES</v>
          </cell>
          <cell r="D232">
            <v>1215515</v>
          </cell>
          <cell r="E232" t="str">
            <v>111-36142</v>
          </cell>
          <cell r="G232" t="str">
            <v>Marine Fish</v>
          </cell>
        </row>
        <row r="233">
          <cell r="A233" t="str">
            <v>P.RED CORIS WRASSE - ADULT - S</v>
          </cell>
          <cell r="B233">
            <v>85504</v>
          </cell>
          <cell r="C233" t="str">
            <v>WRASSES</v>
          </cell>
          <cell r="D233">
            <v>1215507</v>
          </cell>
          <cell r="E233" t="str">
            <v>111-36141</v>
          </cell>
          <cell r="G233" t="str">
            <v>Marine Fish</v>
          </cell>
        </row>
        <row r="234">
          <cell r="A234" t="str">
            <v>P.RED CORIS WRASSE - JUV - L</v>
          </cell>
          <cell r="B234">
            <v>85504</v>
          </cell>
          <cell r="C234" t="str">
            <v>WRASSES</v>
          </cell>
          <cell r="D234">
            <v>1215558</v>
          </cell>
          <cell r="E234" t="str">
            <v>211-71094</v>
          </cell>
          <cell r="G234" t="str">
            <v>Marine Fish</v>
          </cell>
        </row>
        <row r="235">
          <cell r="A235" t="str">
            <v>P.RED CORIS WRASSE - JUV - M</v>
          </cell>
          <cell r="B235">
            <v>85504</v>
          </cell>
          <cell r="C235" t="str">
            <v>WRASSES</v>
          </cell>
          <cell r="D235">
            <v>1215540</v>
          </cell>
          <cell r="E235" t="str">
            <v>211-71093</v>
          </cell>
          <cell r="G235" t="str">
            <v>Marine Fish</v>
          </cell>
        </row>
        <row r="236">
          <cell r="A236" t="str">
            <v>P.RED CORIS WRASSE - JUV - S</v>
          </cell>
          <cell r="B236">
            <v>85504</v>
          </cell>
          <cell r="C236" t="str">
            <v>WRASSES</v>
          </cell>
          <cell r="D236">
            <v>1215531</v>
          </cell>
          <cell r="E236" t="str">
            <v>211-71092</v>
          </cell>
          <cell r="G236" t="str">
            <v>Marine Fish</v>
          </cell>
        </row>
        <row r="237">
          <cell r="A237" t="str">
            <v>P.RED DEVIL 2"</v>
          </cell>
          <cell r="B237">
            <v>84559</v>
          </cell>
          <cell r="C237" t="str">
            <v>CICHLIDS</v>
          </cell>
          <cell r="D237">
            <v>1031880</v>
          </cell>
          <cell r="E237" t="str">
            <v>173-162412</v>
          </cell>
          <cell r="G237" t="str">
            <v>Freshwater Fish</v>
          </cell>
        </row>
        <row r="238">
          <cell r="A238" t="str">
            <v>P.RED FAIRY WRASSE</v>
          </cell>
          <cell r="B238">
            <v>85504</v>
          </cell>
          <cell r="C238" t="str">
            <v>WRASSES</v>
          </cell>
          <cell r="D238">
            <v>1033638</v>
          </cell>
          <cell r="E238" t="str">
            <v>211-71063</v>
          </cell>
          <cell r="G238" t="str">
            <v>Marine Fish</v>
          </cell>
        </row>
        <row r="239">
          <cell r="A239" t="str">
            <v>P.RED FEMALE CROWNTAIL BETTA</v>
          </cell>
          <cell r="B239">
            <v>84197</v>
          </cell>
          <cell r="C239" t="str">
            <v>FANCY BETTA</v>
          </cell>
          <cell r="D239">
            <v>1397699</v>
          </cell>
          <cell r="E239" t="str">
            <v>147-04805</v>
          </cell>
          <cell r="G239" t="str">
            <v>Freshwater Fish</v>
          </cell>
        </row>
        <row r="240">
          <cell r="A240" t="str">
            <v>P.RED FEMALE VEILTAIL BETTA</v>
          </cell>
          <cell r="B240">
            <v>84199</v>
          </cell>
          <cell r="C240" t="str">
            <v>BETTA</v>
          </cell>
          <cell r="D240">
            <v>1397621</v>
          </cell>
          <cell r="E240" t="str">
            <v>147-04605</v>
          </cell>
          <cell r="G240" t="str">
            <v>Freshwater Fish</v>
          </cell>
        </row>
        <row r="241">
          <cell r="A241" t="str">
            <v>P.RED LEG HERMIT</v>
          </cell>
          <cell r="B241">
            <v>85706</v>
          </cell>
          <cell r="C241" t="str">
            <v>CRUSTACEANS</v>
          </cell>
          <cell r="D241">
            <v>1033794</v>
          </cell>
          <cell r="E241" t="str">
            <v>200-1004</v>
          </cell>
          <cell r="G241" t="str">
            <v>Marine Inverts</v>
          </cell>
        </row>
        <row r="242">
          <cell r="A242" t="str">
            <v>P.RED MALE CROWNTAIL BETTA</v>
          </cell>
          <cell r="B242">
            <v>84197</v>
          </cell>
          <cell r="C242" t="str">
            <v>FANCY BETTA</v>
          </cell>
          <cell r="D242">
            <v>1397656</v>
          </cell>
          <cell r="E242" t="str">
            <v>147-04705</v>
          </cell>
          <cell r="G242" t="str">
            <v>Freshwater Fish</v>
          </cell>
        </row>
        <row r="243">
          <cell r="A243" t="str">
            <v>P.RED MALE VEILTAIL BETTA 1.75</v>
          </cell>
          <cell r="B243">
            <v>84199</v>
          </cell>
          <cell r="C243" t="str">
            <v>BETTA</v>
          </cell>
          <cell r="D243">
            <v>1397583</v>
          </cell>
          <cell r="E243" t="str">
            <v>147-04505</v>
          </cell>
          <cell r="G243" t="str">
            <v>Freshwater Fish</v>
          </cell>
        </row>
        <row r="244">
          <cell r="A244" t="str">
            <v>P.RED OSCAR 2"</v>
          </cell>
          <cell r="B244">
            <v>84559</v>
          </cell>
          <cell r="C244" t="str">
            <v>CICHLIDS</v>
          </cell>
          <cell r="D244">
            <v>1031872</v>
          </cell>
          <cell r="E244" t="str">
            <v>173-16019</v>
          </cell>
          <cell r="G244" t="str">
            <v>Freshwater Fish</v>
          </cell>
        </row>
        <row r="245">
          <cell r="A245" t="str">
            <v>P.RED SCOOTER BLENNY .75-1.25"</v>
          </cell>
          <cell r="B245">
            <v>85503</v>
          </cell>
          <cell r="C245" t="str">
            <v>BLENNIES &amp; GOBIES</v>
          </cell>
          <cell r="D245">
            <v>1397176</v>
          </cell>
          <cell r="E245" t="str">
            <v>205-25101</v>
          </cell>
          <cell r="G245" t="str">
            <v>Marine Fish</v>
          </cell>
        </row>
        <row r="246">
          <cell r="A246" t="str">
            <v>P.RED SCOOTER BLENNY 1.25-2.25</v>
          </cell>
          <cell r="B246">
            <v>85503</v>
          </cell>
          <cell r="C246" t="str">
            <v>BLENNIES &amp; GOBIES</v>
          </cell>
          <cell r="D246">
            <v>1397184</v>
          </cell>
          <cell r="E246" t="str">
            <v>205-25103</v>
          </cell>
          <cell r="G246" t="str">
            <v>Marine Fish</v>
          </cell>
        </row>
        <row r="247">
          <cell r="A247" t="str">
            <v>P.RED SCOOTER BLENNY 2.25-3.25</v>
          </cell>
          <cell r="B247">
            <v>85503</v>
          </cell>
          <cell r="C247" t="str">
            <v>BLENNIES &amp; GOBIES</v>
          </cell>
          <cell r="D247">
            <v>1397192</v>
          </cell>
          <cell r="E247" t="str">
            <v>205-25105</v>
          </cell>
          <cell r="G247" t="str">
            <v>Marine Fish</v>
          </cell>
        </row>
        <row r="248">
          <cell r="A248" t="str">
            <v>P.RED SEA FAN 8-12"</v>
          </cell>
          <cell r="B248">
            <v>85709</v>
          </cell>
          <cell r="C248" t="str">
            <v>ASST INVERTS</v>
          </cell>
          <cell r="D248">
            <v>1325183</v>
          </cell>
          <cell r="E248" t="str">
            <v>111-12008</v>
          </cell>
          <cell r="G248" t="str">
            <v>Marine Inverts</v>
          </cell>
        </row>
        <row r="249">
          <cell r="A249" t="str">
            <v>P.RED SWORDTAIL 2"</v>
          </cell>
          <cell r="B249">
            <v>84504</v>
          </cell>
          <cell r="C249" t="str">
            <v>SWORDTAILS</v>
          </cell>
          <cell r="D249">
            <v>1032291</v>
          </cell>
          <cell r="E249" t="str">
            <v>161-66034</v>
          </cell>
          <cell r="G249" t="str">
            <v>Freshwater Fish</v>
          </cell>
        </row>
        <row r="250">
          <cell r="A250" t="str">
            <v>P.RED TAIL SHARK 2"</v>
          </cell>
          <cell r="B250">
            <v>84499</v>
          </cell>
          <cell r="C250" t="str">
            <v>CATFISH, SHARKS &amp; LOACHES</v>
          </cell>
          <cell r="D250">
            <v>1032259</v>
          </cell>
          <cell r="E250" t="str">
            <v>173-61038</v>
          </cell>
          <cell r="G250" t="str">
            <v>Freshwater Fish</v>
          </cell>
        </row>
        <row r="251">
          <cell r="A251" t="str">
            <v>P.RED WAG SWORDTAIL 2"</v>
          </cell>
          <cell r="B251">
            <v>84504</v>
          </cell>
          <cell r="C251" t="str">
            <v>SWORDTAILS</v>
          </cell>
          <cell r="D251">
            <v>1032305</v>
          </cell>
          <cell r="E251" t="str">
            <v>161-66044</v>
          </cell>
          <cell r="G251" t="str">
            <v>Freshwater Fish</v>
          </cell>
        </row>
        <row r="252">
          <cell r="A252" t="str">
            <v>P.RED WHITE COCO WORM 3-5"</v>
          </cell>
          <cell r="B252">
            <v>85709</v>
          </cell>
          <cell r="C252" t="str">
            <v>ASST INVERTS</v>
          </cell>
          <cell r="D252">
            <v>1323962</v>
          </cell>
          <cell r="E252" t="str">
            <v>241-17231</v>
          </cell>
          <cell r="G252" t="str">
            <v>Marine Inverts</v>
          </cell>
        </row>
        <row r="253">
          <cell r="A253" t="str">
            <v>P.REGAL ANGEL-ADULT-L (INDO)</v>
          </cell>
          <cell r="B253">
            <v>85401</v>
          </cell>
          <cell r="C253" t="str">
            <v>ANGELFISH</v>
          </cell>
          <cell r="D253">
            <v>1036947</v>
          </cell>
          <cell r="E253" t="str">
            <v>292-01065</v>
          </cell>
          <cell r="G253" t="str">
            <v>Marine Fish</v>
          </cell>
        </row>
        <row r="254">
          <cell r="A254" t="str">
            <v>P.REGAL ANGEL-ADULT-M (INDO)</v>
          </cell>
          <cell r="B254">
            <v>85401</v>
          </cell>
          <cell r="C254" t="str">
            <v>ANGELFISH</v>
          </cell>
          <cell r="D254">
            <v>1036939</v>
          </cell>
          <cell r="E254" t="str">
            <v>292-01063</v>
          </cell>
          <cell r="G254" t="str">
            <v>Marine Fish</v>
          </cell>
        </row>
        <row r="255">
          <cell r="A255" t="str">
            <v>P.REGAL ANGEL-ADULT-S (INDO)</v>
          </cell>
          <cell r="B255">
            <v>85401</v>
          </cell>
          <cell r="C255" t="str">
            <v>ANGELFISH</v>
          </cell>
          <cell r="D255">
            <v>1036920</v>
          </cell>
          <cell r="E255" t="str">
            <v>292-01061</v>
          </cell>
          <cell r="G255" t="str">
            <v>Marine Fish</v>
          </cell>
        </row>
        <row r="256">
          <cell r="A256" t="str">
            <v>P.ROSE BUBBLE ANEMONE 5-6"</v>
          </cell>
          <cell r="B256">
            <v>85708</v>
          </cell>
          <cell r="C256" t="str">
            <v>ANEMONES</v>
          </cell>
          <cell r="D256">
            <v>1322869</v>
          </cell>
          <cell r="E256" t="str">
            <v>352-8008</v>
          </cell>
          <cell r="G256" t="str">
            <v>Marine Inverts</v>
          </cell>
        </row>
        <row r="257">
          <cell r="A257" t="str">
            <v>P.ROSELINE SHARK 2-2.5"</v>
          </cell>
          <cell r="B257">
            <v>84499</v>
          </cell>
          <cell r="C257" t="str">
            <v>CATFISH, SHARKS &amp; LOACHES</v>
          </cell>
          <cell r="D257">
            <v>2379739</v>
          </cell>
          <cell r="E257" t="str">
            <v>111-06255</v>
          </cell>
          <cell r="G257" t="str">
            <v>Freshwater Fish</v>
          </cell>
        </row>
        <row r="258">
          <cell r="A258" t="str">
            <v>P.SAND SIFTING STARFISH</v>
          </cell>
          <cell r="B258">
            <v>85709</v>
          </cell>
          <cell r="C258" t="str">
            <v>ASST INVERTS</v>
          </cell>
          <cell r="D258">
            <v>1033735</v>
          </cell>
          <cell r="E258" t="str">
            <v>241-7915</v>
          </cell>
          <cell r="G258" t="str">
            <v>Marine Inverts</v>
          </cell>
        </row>
        <row r="259">
          <cell r="A259" t="str">
            <v>P.SEA HARE</v>
          </cell>
          <cell r="B259">
            <v>85709</v>
          </cell>
          <cell r="C259" t="str">
            <v>ASST INVERTS</v>
          </cell>
          <cell r="D259">
            <v>1373242</v>
          </cell>
          <cell r="E259" t="str">
            <v>205-49023</v>
          </cell>
          <cell r="G259" t="str">
            <v>Marine Inverts</v>
          </cell>
        </row>
        <row r="260">
          <cell r="A260" t="str">
            <v>P.SILVER MONO 1-2"</v>
          </cell>
          <cell r="B260">
            <v>85600</v>
          </cell>
          <cell r="C260" t="str">
            <v>LG ASSORTED MARINE FISH</v>
          </cell>
          <cell r="D260">
            <v>1326686</v>
          </cell>
          <cell r="E260" t="str">
            <v>241-09201</v>
          </cell>
          <cell r="G260" t="str">
            <v>Marine Fish</v>
          </cell>
        </row>
        <row r="261">
          <cell r="A261" t="str">
            <v>P.SLEEPER GOLDHEAD GOBY</v>
          </cell>
          <cell r="B261">
            <v>85503</v>
          </cell>
          <cell r="C261" t="str">
            <v>BLENNIES &amp; GOBIES</v>
          </cell>
          <cell r="D261">
            <v>1307070</v>
          </cell>
          <cell r="E261" t="str">
            <v>211-25178</v>
          </cell>
          <cell r="G261" t="str">
            <v>Marine Fish</v>
          </cell>
        </row>
        <row r="262">
          <cell r="A262" t="str">
            <v>P.SNOWFLAKE EEL L</v>
          </cell>
          <cell r="B262">
            <v>85600</v>
          </cell>
          <cell r="C262" t="str">
            <v>LG ASSORTED MARINE FISH</v>
          </cell>
          <cell r="D262">
            <v>1033247</v>
          </cell>
          <cell r="E262" t="str">
            <v>211-76015</v>
          </cell>
          <cell r="G262" t="str">
            <v>Marine Fish</v>
          </cell>
        </row>
        <row r="263">
          <cell r="A263" t="str">
            <v>P.SNOWFLAKE EEL M</v>
          </cell>
          <cell r="B263">
            <v>85600</v>
          </cell>
          <cell r="C263" t="str">
            <v>LG ASSORTED MARINE FISH</v>
          </cell>
          <cell r="D263">
            <v>1033239</v>
          </cell>
          <cell r="E263" t="str">
            <v>211-76013</v>
          </cell>
          <cell r="G263" t="str">
            <v>Marine Fish</v>
          </cell>
        </row>
        <row r="264">
          <cell r="A264" t="str">
            <v>P.SNOWFLAKE EEL S</v>
          </cell>
          <cell r="B264">
            <v>85600</v>
          </cell>
          <cell r="C264" t="str">
            <v>LG ASSORTED MARINE FISH</v>
          </cell>
          <cell r="D264">
            <v>1033220</v>
          </cell>
          <cell r="E264" t="str">
            <v>211-76011</v>
          </cell>
          <cell r="G264" t="str">
            <v>Marine Fish</v>
          </cell>
        </row>
        <row r="265">
          <cell r="A265" t="str">
            <v>P.SPOTTED MANDARIN GOBY-L</v>
          </cell>
          <cell r="B265">
            <v>85503</v>
          </cell>
          <cell r="C265" t="str">
            <v>BLENNIES &amp; GOBIES</v>
          </cell>
          <cell r="D265">
            <v>1037129</v>
          </cell>
          <cell r="E265" t="str">
            <v>201-11345</v>
          </cell>
          <cell r="G265" t="str">
            <v>Marine Fish</v>
          </cell>
        </row>
        <row r="266">
          <cell r="A266" t="str">
            <v>P.SPOTTED MANDARIN GOBY-M</v>
          </cell>
          <cell r="B266">
            <v>85503</v>
          </cell>
          <cell r="C266" t="str">
            <v>BLENNIES &amp; GOBIES</v>
          </cell>
          <cell r="D266">
            <v>1037110</v>
          </cell>
          <cell r="E266" t="str">
            <v>201-11343</v>
          </cell>
          <cell r="G266" t="str">
            <v>Marine Fish</v>
          </cell>
        </row>
        <row r="267">
          <cell r="A267" t="str">
            <v>P.SPOTTED MANDARIN GOBY-S</v>
          </cell>
          <cell r="B267">
            <v>85503</v>
          </cell>
          <cell r="C267" t="str">
            <v>BLENNIES &amp; GOBIES</v>
          </cell>
          <cell r="D267">
            <v>1037102</v>
          </cell>
          <cell r="E267" t="str">
            <v>201-11341</v>
          </cell>
          <cell r="G267" t="str">
            <v>Marine Fish</v>
          </cell>
        </row>
        <row r="268">
          <cell r="A268" t="str">
            <v>P.SQUARE ANTHIAS-FEMALE</v>
          </cell>
          <cell r="B268">
            <v>85501</v>
          </cell>
          <cell r="C268" t="str">
            <v>SM ASSORTED MARINE FISH</v>
          </cell>
          <cell r="D268">
            <v>1372467</v>
          </cell>
          <cell r="E268" t="str">
            <v>205-0306</v>
          </cell>
          <cell r="G268" t="str">
            <v>Marine Fish</v>
          </cell>
        </row>
        <row r="269">
          <cell r="A269" t="str">
            <v>P.SQUARE ANTHIAS-MALE</v>
          </cell>
          <cell r="B269">
            <v>85501</v>
          </cell>
          <cell r="C269" t="str">
            <v>SM ASSORTED MARINE FISH</v>
          </cell>
          <cell r="D269">
            <v>1372475</v>
          </cell>
          <cell r="E269" t="str">
            <v>205-0307</v>
          </cell>
          <cell r="G269" t="str">
            <v>Marine Fish</v>
          </cell>
        </row>
        <row r="270">
          <cell r="A270" t="str">
            <v>P.STAGHORN HERMIT</v>
          </cell>
          <cell r="B270">
            <v>85706</v>
          </cell>
          <cell r="C270" t="str">
            <v>CRUSTACEANS</v>
          </cell>
          <cell r="D270">
            <v>1268090</v>
          </cell>
          <cell r="E270" t="str">
            <v>180-25593</v>
          </cell>
          <cell r="G270" t="str">
            <v>Marine Inverts</v>
          </cell>
        </row>
        <row r="271">
          <cell r="A271" t="str">
            <v>P.STRAWBERRY DOTTYBACK</v>
          </cell>
          <cell r="B271">
            <v>85502</v>
          </cell>
          <cell r="C271" t="str">
            <v>BASSLETS &amp; DOTTYBACKS</v>
          </cell>
          <cell r="D271">
            <v>1036998</v>
          </cell>
          <cell r="E271" t="str">
            <v>211-25281</v>
          </cell>
          <cell r="G271" t="str">
            <v>Marine Fish</v>
          </cell>
        </row>
        <row r="272">
          <cell r="A272" t="str">
            <v>P.SUNRISE GUPPY - XL</v>
          </cell>
          <cell r="B272">
            <v>84501</v>
          </cell>
          <cell r="C272" t="str">
            <v>GUPPIES</v>
          </cell>
          <cell r="D272">
            <v>1032100</v>
          </cell>
          <cell r="E272" t="str">
            <v>111-36186</v>
          </cell>
          <cell r="G272" t="str">
            <v>Freshwater Fish</v>
          </cell>
        </row>
        <row r="273">
          <cell r="A273" t="str">
            <v>P.TALBOT'S DAMSEL 0.75-1.5"</v>
          </cell>
          <cell r="B273">
            <v>85200</v>
          </cell>
          <cell r="C273" t="str">
            <v>DAMSELS</v>
          </cell>
          <cell r="D273">
            <v>1326562</v>
          </cell>
          <cell r="E273" t="str">
            <v>241-19235</v>
          </cell>
          <cell r="G273" t="str">
            <v>Marine Fish</v>
          </cell>
        </row>
        <row r="274">
          <cell r="A274" t="str">
            <v>P.TESSALATA EEL L</v>
          </cell>
          <cell r="B274">
            <v>85600</v>
          </cell>
          <cell r="C274" t="str">
            <v>LG ASSORTED MARINE FISH</v>
          </cell>
          <cell r="D274">
            <v>1033271</v>
          </cell>
          <cell r="E274" t="str">
            <v>211-76035</v>
          </cell>
          <cell r="G274" t="str">
            <v>Marine Fish</v>
          </cell>
        </row>
        <row r="275">
          <cell r="A275" t="str">
            <v>P.TESSALATA EEL M</v>
          </cell>
          <cell r="B275">
            <v>85600</v>
          </cell>
          <cell r="C275" t="str">
            <v>LG ASSORTED MARINE FISH</v>
          </cell>
          <cell r="D275">
            <v>1033263</v>
          </cell>
          <cell r="E275" t="str">
            <v>211-76033</v>
          </cell>
          <cell r="G275" t="str">
            <v>Marine Fish</v>
          </cell>
        </row>
        <row r="276">
          <cell r="A276" t="str">
            <v>P.TESSALATA EEL S</v>
          </cell>
          <cell r="B276">
            <v>85600</v>
          </cell>
          <cell r="C276" t="str">
            <v>LG ASSORTED MARINE FISH</v>
          </cell>
          <cell r="D276">
            <v>1033255</v>
          </cell>
          <cell r="E276" t="str">
            <v>211-76031</v>
          </cell>
          <cell r="G276" t="str">
            <v>Marine Fish</v>
          </cell>
        </row>
        <row r="277">
          <cell r="A277" t="str">
            <v>P.TIGER BARB L</v>
          </cell>
          <cell r="B277">
            <v>84539</v>
          </cell>
          <cell r="C277" t="str">
            <v>BARBS</v>
          </cell>
          <cell r="D277">
            <v>1031686</v>
          </cell>
          <cell r="E277" t="str">
            <v>161-06025</v>
          </cell>
          <cell r="G277" t="str">
            <v>Freshwater Fish</v>
          </cell>
        </row>
        <row r="278">
          <cell r="A278" t="str">
            <v>P.TIGER OSCAR 2"</v>
          </cell>
          <cell r="B278">
            <v>84559</v>
          </cell>
          <cell r="C278" t="str">
            <v>CICHLIDS</v>
          </cell>
          <cell r="D278">
            <v>1031856</v>
          </cell>
          <cell r="E278" t="str">
            <v>173-16029</v>
          </cell>
          <cell r="G278" t="str">
            <v>Freshwater Fish</v>
          </cell>
        </row>
        <row r="279">
          <cell r="A279" t="str">
            <v>P.TWINBAR SOLAR FLARE SWORDTAI</v>
          </cell>
          <cell r="B279">
            <v>84504</v>
          </cell>
          <cell r="C279" t="str">
            <v>SWORDTAILS</v>
          </cell>
          <cell r="D279">
            <v>1433997</v>
          </cell>
          <cell r="E279" t="str">
            <v>111-66144</v>
          </cell>
          <cell r="G279" t="str">
            <v>Freshwater Fish</v>
          </cell>
        </row>
        <row r="280">
          <cell r="A280" t="str">
            <v>P.UNDULATED TRIGGER - L</v>
          </cell>
          <cell r="B280">
            <v>85601</v>
          </cell>
          <cell r="C280" t="str">
            <v>TRIGGERS</v>
          </cell>
          <cell r="D280">
            <v>1215310</v>
          </cell>
          <cell r="E280" t="str">
            <v>217-66015</v>
          </cell>
          <cell r="G280" t="str">
            <v>Marine Fish</v>
          </cell>
        </row>
        <row r="281">
          <cell r="A281" t="str">
            <v>P.UNDULATED TRIGGER - M</v>
          </cell>
          <cell r="B281">
            <v>85601</v>
          </cell>
          <cell r="C281" t="str">
            <v>TRIGGERS</v>
          </cell>
          <cell r="D281">
            <v>1215302</v>
          </cell>
          <cell r="E281" t="str">
            <v>217-66013</v>
          </cell>
          <cell r="G281" t="str">
            <v>Marine Fish</v>
          </cell>
        </row>
        <row r="282">
          <cell r="A282" t="str">
            <v>P.UNDULATED TRIGGER - S</v>
          </cell>
          <cell r="B282">
            <v>85601</v>
          </cell>
          <cell r="C282" t="str">
            <v>TRIGGERS</v>
          </cell>
          <cell r="D282">
            <v>1215299</v>
          </cell>
          <cell r="E282" t="str">
            <v>217-66011</v>
          </cell>
          <cell r="G282" t="str">
            <v>Marine Fish</v>
          </cell>
        </row>
        <row r="283">
          <cell r="A283" t="str">
            <v>P.URCHIN CLINGFISH 1-2"</v>
          </cell>
          <cell r="B283">
            <v>85501</v>
          </cell>
          <cell r="C283" t="str">
            <v>SM ASSORTED MARINE FISH</v>
          </cell>
          <cell r="D283">
            <v>1326660</v>
          </cell>
          <cell r="E283" t="str">
            <v>241-23213</v>
          </cell>
          <cell r="G283" t="str">
            <v>Marine Fish</v>
          </cell>
        </row>
        <row r="284">
          <cell r="A284" t="str">
            <v>P.VIOLET SEBAE ANEMONE 2-3"</v>
          </cell>
          <cell r="B284">
            <v>85708</v>
          </cell>
          <cell r="C284" t="str">
            <v>ANEMONES</v>
          </cell>
          <cell r="D284">
            <v>1323083</v>
          </cell>
          <cell r="E284" t="str">
            <v>352-8009</v>
          </cell>
          <cell r="G284" t="str">
            <v>Marine Inverts</v>
          </cell>
        </row>
        <row r="285">
          <cell r="A285" t="str">
            <v>P.VLAMINGII TANG - L</v>
          </cell>
          <cell r="B285">
            <v>85300</v>
          </cell>
          <cell r="C285" t="str">
            <v>TANGS</v>
          </cell>
          <cell r="D285">
            <v>1038320</v>
          </cell>
          <cell r="E285" t="str">
            <v>216-5651</v>
          </cell>
          <cell r="G285" t="str">
            <v>Marine Fish</v>
          </cell>
        </row>
        <row r="286">
          <cell r="A286" t="str">
            <v>P.VLAMINGII TANG - M</v>
          </cell>
          <cell r="B286">
            <v>85300</v>
          </cell>
          <cell r="C286" t="str">
            <v>TANGS</v>
          </cell>
          <cell r="D286">
            <v>1038311</v>
          </cell>
          <cell r="E286" t="str">
            <v>216-5650</v>
          </cell>
          <cell r="G286" t="str">
            <v>Marine Fish</v>
          </cell>
        </row>
        <row r="287">
          <cell r="A287" t="str">
            <v>P.VLAMINGII TANG - S</v>
          </cell>
          <cell r="B287">
            <v>85300</v>
          </cell>
          <cell r="C287" t="str">
            <v>TANGS</v>
          </cell>
          <cell r="D287">
            <v>1038303</v>
          </cell>
          <cell r="E287" t="str">
            <v>216-5610</v>
          </cell>
          <cell r="G287" t="str">
            <v>Marine Fish</v>
          </cell>
        </row>
        <row r="288">
          <cell r="A288" t="str">
            <v>P.VOLITAN LION L</v>
          </cell>
          <cell r="B288">
            <v>85600</v>
          </cell>
          <cell r="C288" t="str">
            <v>LG ASSORTED MARINE FISH</v>
          </cell>
          <cell r="D288">
            <v>1033301</v>
          </cell>
          <cell r="E288" t="str">
            <v>211-46075</v>
          </cell>
          <cell r="G288" t="str">
            <v>Marine Fish</v>
          </cell>
        </row>
        <row r="289">
          <cell r="A289" t="str">
            <v>P.VOLITAN LION M</v>
          </cell>
          <cell r="B289">
            <v>85600</v>
          </cell>
          <cell r="C289" t="str">
            <v>LG ASSORTED MARINE FISH</v>
          </cell>
          <cell r="D289">
            <v>1033298</v>
          </cell>
          <cell r="E289" t="str">
            <v>211-46073</v>
          </cell>
          <cell r="G289" t="str">
            <v>Marine Fish</v>
          </cell>
        </row>
        <row r="290">
          <cell r="A290" t="str">
            <v>P.VOLITAN LION S</v>
          </cell>
          <cell r="B290">
            <v>85600</v>
          </cell>
          <cell r="C290" t="str">
            <v>LG ASSORTED MARINE FISH</v>
          </cell>
          <cell r="D290">
            <v>1033280</v>
          </cell>
          <cell r="E290" t="str">
            <v>211-46071</v>
          </cell>
          <cell r="G290" t="str">
            <v>Marine Fish</v>
          </cell>
        </row>
        <row r="291">
          <cell r="A291" t="str">
            <v>P.WHITE SEBAE ANEMONE L</v>
          </cell>
          <cell r="B291">
            <v>85708</v>
          </cell>
          <cell r="C291" t="str">
            <v>ANEMONES</v>
          </cell>
          <cell r="D291">
            <v>1033719</v>
          </cell>
          <cell r="E291" t="str">
            <v>241-80025</v>
          </cell>
          <cell r="G291" t="str">
            <v>Marine Inverts</v>
          </cell>
        </row>
        <row r="292">
          <cell r="A292" t="str">
            <v>P.WHITE SEBAE ANEMONE M</v>
          </cell>
          <cell r="B292">
            <v>85708</v>
          </cell>
          <cell r="C292" t="str">
            <v>ANEMONES</v>
          </cell>
          <cell r="D292">
            <v>1033700</v>
          </cell>
          <cell r="E292" t="str">
            <v>241-80023</v>
          </cell>
          <cell r="G292" t="str">
            <v>Marine Inverts</v>
          </cell>
        </row>
        <row r="293">
          <cell r="A293" t="str">
            <v>P.WHITE SEBAE ANEMONE S</v>
          </cell>
          <cell r="B293">
            <v>85708</v>
          </cell>
          <cell r="C293" t="str">
            <v>ANEMONES</v>
          </cell>
          <cell r="D293">
            <v>1033697</v>
          </cell>
          <cell r="E293" t="str">
            <v>241-80021</v>
          </cell>
          <cell r="G293" t="str">
            <v>Marine Inverts</v>
          </cell>
        </row>
        <row r="294">
          <cell r="A294" t="str">
            <v>P.WHITE TUBE ANEMONE 2-3"</v>
          </cell>
          <cell r="B294">
            <v>85708</v>
          </cell>
          <cell r="C294" t="str">
            <v>ANEMONES</v>
          </cell>
          <cell r="D294">
            <v>1322940</v>
          </cell>
          <cell r="E294" t="str">
            <v>352-8014</v>
          </cell>
          <cell r="G294" t="str">
            <v>Marine Inverts</v>
          </cell>
        </row>
        <row r="295">
          <cell r="A295" t="str">
            <v>P.YELLOW GUPPY - XL</v>
          </cell>
          <cell r="B295">
            <v>84501</v>
          </cell>
          <cell r="C295" t="str">
            <v>GUPPIES</v>
          </cell>
          <cell r="D295">
            <v>1032119</v>
          </cell>
          <cell r="E295" t="str">
            <v>111-36156</v>
          </cell>
          <cell r="G295" t="str">
            <v>Freshwater Fish</v>
          </cell>
        </row>
        <row r="296">
          <cell r="A296" t="str">
            <v>P.YELLOW TANG L</v>
          </cell>
          <cell r="B296">
            <v>85300</v>
          </cell>
          <cell r="C296" t="str">
            <v>TANGS</v>
          </cell>
          <cell r="D296">
            <v>1033468</v>
          </cell>
          <cell r="E296" t="str">
            <v>201-56015</v>
          </cell>
          <cell r="G296" t="str">
            <v>Marine Fish</v>
          </cell>
        </row>
        <row r="297">
          <cell r="A297" t="str">
            <v>P.YELLOW TANG M</v>
          </cell>
          <cell r="B297">
            <v>85300</v>
          </cell>
          <cell r="C297" t="str">
            <v>TANGS</v>
          </cell>
          <cell r="D297">
            <v>1033450</v>
          </cell>
          <cell r="E297" t="str">
            <v>201-56013</v>
          </cell>
          <cell r="G297" t="str">
            <v>Marine Fish</v>
          </cell>
        </row>
        <row r="298">
          <cell r="A298" t="str">
            <v>P.YELLOW TANG S</v>
          </cell>
          <cell r="B298">
            <v>85300</v>
          </cell>
          <cell r="C298" t="str">
            <v>TANGS</v>
          </cell>
          <cell r="D298">
            <v>1033441</v>
          </cell>
          <cell r="E298" t="str">
            <v>201-56011</v>
          </cell>
          <cell r="G298" t="str">
            <v>Marine Fish</v>
          </cell>
        </row>
        <row r="299">
          <cell r="A299" t="str">
            <v>P.YELLOW-EYE KOLE TANG - L</v>
          </cell>
          <cell r="B299">
            <v>85300</v>
          </cell>
          <cell r="C299" t="str">
            <v>TANGS</v>
          </cell>
          <cell r="D299">
            <v>1215370</v>
          </cell>
          <cell r="E299" t="str">
            <v>211-56075</v>
          </cell>
          <cell r="G299" t="str">
            <v>Marine Fish</v>
          </cell>
        </row>
        <row r="300">
          <cell r="A300" t="str">
            <v>P.YELLOW-EYE KOLE TANG - M</v>
          </cell>
          <cell r="B300">
            <v>85300</v>
          </cell>
          <cell r="C300" t="str">
            <v>TANGS</v>
          </cell>
          <cell r="D300">
            <v>1215361</v>
          </cell>
          <cell r="E300" t="str">
            <v>211-56073</v>
          </cell>
          <cell r="G300" t="str">
            <v>Marine Fish</v>
          </cell>
        </row>
        <row r="301">
          <cell r="A301" t="str">
            <v>P.YELLOW-EYE KOLE TANG - S</v>
          </cell>
          <cell r="B301">
            <v>85300</v>
          </cell>
          <cell r="C301" t="str">
            <v>TANGS</v>
          </cell>
          <cell r="D301">
            <v>1215353</v>
          </cell>
          <cell r="E301" t="str">
            <v>211-56072</v>
          </cell>
          <cell r="G301" t="str">
            <v>Marine Fish</v>
          </cell>
        </row>
        <row r="302">
          <cell r="A302" t="str">
            <v>P.YELLOW-TAIL BLUE DAMSEL</v>
          </cell>
          <cell r="B302">
            <v>85200</v>
          </cell>
          <cell r="C302" t="str">
            <v>DAMSELS</v>
          </cell>
          <cell r="D302">
            <v>1215078</v>
          </cell>
          <cell r="E302" t="str">
            <v>201-1962</v>
          </cell>
          <cell r="G302" t="str">
            <v>Marine Fish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07"/>
  <sheetViews>
    <sheetView tabSelected="1" workbookViewId="0">
      <pane ySplit="2" topLeftCell="A3" activePane="bottomLeft" state="frozen"/>
      <selection pane="bottomLeft" activeCell="P308" sqref="P308"/>
    </sheetView>
  </sheetViews>
  <sheetFormatPr defaultRowHeight="15" x14ac:dyDescent="0.25"/>
  <cols>
    <col min="1" max="1" width="17.85546875" bestFit="1" customWidth="1"/>
    <col min="2" max="2" width="27" hidden="1" customWidth="1"/>
    <col min="3" max="3" width="8.85546875" customWidth="1"/>
    <col min="4" max="4" width="12.140625" customWidth="1"/>
    <col min="5" max="6" width="34.7109375" bestFit="1" customWidth="1"/>
    <col min="7" max="7" width="9.140625" customWidth="1"/>
    <col min="8" max="8" width="11.42578125" customWidth="1"/>
    <col min="9" max="9" width="11.42578125" hidden="1" customWidth="1"/>
    <col min="10" max="11" width="11.42578125" customWidth="1"/>
    <col min="12" max="12" width="11.42578125" style="20" customWidth="1"/>
    <col min="13" max="19" width="5" style="20" customWidth="1"/>
  </cols>
  <sheetData>
    <row r="1" spans="1:19" x14ac:dyDescent="0.25">
      <c r="A1" s="36" t="s">
        <v>365</v>
      </c>
      <c r="B1" s="29" t="s">
        <v>1</v>
      </c>
      <c r="C1" s="31" t="s">
        <v>2</v>
      </c>
      <c r="D1" s="31" t="s">
        <v>3</v>
      </c>
      <c r="E1" s="31" t="s">
        <v>4</v>
      </c>
      <c r="F1" s="31" t="s">
        <v>696</v>
      </c>
      <c r="G1" s="31" t="s">
        <v>842</v>
      </c>
      <c r="H1" s="31" t="s">
        <v>5</v>
      </c>
      <c r="I1" s="29" t="s">
        <v>685</v>
      </c>
      <c r="J1" s="31" t="s">
        <v>687</v>
      </c>
      <c r="K1" s="29" t="s">
        <v>686</v>
      </c>
      <c r="L1" s="29" t="s">
        <v>689</v>
      </c>
      <c r="M1" s="33" t="s">
        <v>684</v>
      </c>
      <c r="N1" s="34"/>
      <c r="O1" s="34"/>
      <c r="P1" s="34"/>
      <c r="Q1" s="34"/>
      <c r="R1" s="34"/>
      <c r="S1" s="35"/>
    </row>
    <row r="2" spans="1:19" x14ac:dyDescent="0.25">
      <c r="A2" s="37"/>
      <c r="B2" s="30"/>
      <c r="C2" s="32"/>
      <c r="D2" s="32"/>
      <c r="E2" s="32"/>
      <c r="F2" s="32"/>
      <c r="G2" s="32"/>
      <c r="H2" s="32"/>
      <c r="I2" s="30"/>
      <c r="J2" s="32"/>
      <c r="K2" s="30"/>
      <c r="L2" s="30"/>
      <c r="M2" s="26" t="s">
        <v>674</v>
      </c>
      <c r="N2" s="26" t="s">
        <v>675</v>
      </c>
      <c r="O2" s="26" t="s">
        <v>676</v>
      </c>
      <c r="P2" s="26" t="s">
        <v>677</v>
      </c>
      <c r="Q2" s="26" t="s">
        <v>678</v>
      </c>
      <c r="R2" s="26" t="s">
        <v>679</v>
      </c>
      <c r="S2" s="26" t="s">
        <v>680</v>
      </c>
    </row>
    <row r="3" spans="1:19" x14ac:dyDescent="0.25">
      <c r="A3" s="25" t="s">
        <v>587</v>
      </c>
      <c r="B3" s="1" t="e">
        <f>VLOOKUP(E3,[1]Sheet1!$A:$G,3,FALSE)</f>
        <v>#N/A</v>
      </c>
      <c r="C3" s="1">
        <v>2616431</v>
      </c>
      <c r="D3" s="1" t="s">
        <v>693</v>
      </c>
      <c r="E3" s="1" t="s">
        <v>690</v>
      </c>
      <c r="F3" s="28" t="s">
        <v>705</v>
      </c>
      <c r="G3" s="1" t="s">
        <v>605</v>
      </c>
      <c r="H3" s="3"/>
      <c r="I3" s="11"/>
      <c r="J3" s="11" t="s">
        <v>688</v>
      </c>
      <c r="K3" s="27">
        <v>0</v>
      </c>
      <c r="L3" s="11">
        <v>50</v>
      </c>
      <c r="M3" s="11">
        <v>500</v>
      </c>
      <c r="N3" s="11">
        <v>500</v>
      </c>
      <c r="O3" s="11">
        <v>500</v>
      </c>
      <c r="P3" s="11">
        <v>500</v>
      </c>
      <c r="Q3" s="11"/>
      <c r="R3" s="11"/>
      <c r="S3" s="11"/>
    </row>
    <row r="4" spans="1:19" x14ac:dyDescent="0.25">
      <c r="A4" s="25" t="s">
        <v>587</v>
      </c>
      <c r="B4" s="1" t="s">
        <v>496</v>
      </c>
      <c r="C4" s="1">
        <v>2616440</v>
      </c>
      <c r="D4" s="1" t="s">
        <v>694</v>
      </c>
      <c r="E4" s="1" t="s">
        <v>691</v>
      </c>
      <c r="F4" s="28" t="s">
        <v>705</v>
      </c>
      <c r="G4" s="1" t="s">
        <v>605</v>
      </c>
      <c r="H4" s="3"/>
      <c r="I4" s="11"/>
      <c r="J4" s="11" t="s">
        <v>688</v>
      </c>
      <c r="K4" s="27">
        <v>0</v>
      </c>
      <c r="L4" s="11">
        <v>50</v>
      </c>
      <c r="M4" s="11">
        <v>0</v>
      </c>
      <c r="N4" s="11">
        <v>0</v>
      </c>
      <c r="O4" s="11">
        <v>0</v>
      </c>
      <c r="P4" s="11">
        <v>0</v>
      </c>
      <c r="Q4" s="11"/>
      <c r="R4" s="11"/>
      <c r="S4" s="11"/>
    </row>
    <row r="5" spans="1:19" x14ac:dyDescent="0.25">
      <c r="A5" s="25" t="s">
        <v>587</v>
      </c>
      <c r="B5" s="1" t="s">
        <v>496</v>
      </c>
      <c r="C5" s="1">
        <v>2616458</v>
      </c>
      <c r="D5" s="1" t="s">
        <v>695</v>
      </c>
      <c r="E5" s="1" t="s">
        <v>692</v>
      </c>
      <c r="F5" s="28" t="s">
        <v>700</v>
      </c>
      <c r="G5" s="1" t="s">
        <v>641</v>
      </c>
      <c r="H5" s="3"/>
      <c r="I5" s="11"/>
      <c r="J5" s="11" t="s">
        <v>688</v>
      </c>
      <c r="K5" s="27">
        <v>0</v>
      </c>
      <c r="L5" s="11">
        <v>25</v>
      </c>
      <c r="M5" s="11">
        <v>500</v>
      </c>
      <c r="N5" s="11">
        <v>500</v>
      </c>
      <c r="O5" s="11">
        <v>500</v>
      </c>
      <c r="P5" s="11">
        <v>500</v>
      </c>
      <c r="Q5" s="11"/>
      <c r="R5" s="11"/>
      <c r="S5" s="11"/>
    </row>
    <row r="6" spans="1:19" x14ac:dyDescent="0.25">
      <c r="A6" s="25" t="s">
        <v>587</v>
      </c>
      <c r="B6" s="1" t="str">
        <f>VLOOKUP(E6,[1]Sheet1!$A:$G,3,FALSE)</f>
        <v>BARBS</v>
      </c>
      <c r="C6" s="1">
        <v>1031708</v>
      </c>
      <c r="D6" s="1" t="str">
        <f>VLOOKUP(E6,[1]Sheet1!$A:$G,5,FALSE)</f>
        <v>161-06045</v>
      </c>
      <c r="E6" s="1" t="s">
        <v>538</v>
      </c>
      <c r="F6" s="28" t="s">
        <v>702</v>
      </c>
      <c r="G6" s="1" t="s">
        <v>839</v>
      </c>
      <c r="H6" s="3"/>
      <c r="I6" s="11">
        <v>83</v>
      </c>
      <c r="J6" s="11" t="s">
        <v>688</v>
      </c>
      <c r="K6" s="27">
        <v>1.5961538461538463</v>
      </c>
      <c r="L6" s="11">
        <v>25</v>
      </c>
      <c r="M6" s="11">
        <v>25</v>
      </c>
      <c r="N6" s="11">
        <v>25</v>
      </c>
      <c r="O6" s="11">
        <v>25</v>
      </c>
      <c r="P6" s="11">
        <v>25</v>
      </c>
      <c r="Q6" s="11"/>
      <c r="R6" s="11"/>
      <c r="S6" s="11"/>
    </row>
    <row r="7" spans="1:19" x14ac:dyDescent="0.25">
      <c r="A7" s="25" t="s">
        <v>587</v>
      </c>
      <c r="B7" s="1" t="s">
        <v>496</v>
      </c>
      <c r="C7" s="1">
        <v>1433873</v>
      </c>
      <c r="D7" s="1" t="s">
        <v>513</v>
      </c>
      <c r="E7" s="1" t="s">
        <v>514</v>
      </c>
      <c r="F7" s="28" t="s">
        <v>703</v>
      </c>
      <c r="G7" s="1" t="s">
        <v>641</v>
      </c>
      <c r="H7" s="3"/>
      <c r="I7" s="11">
        <v>99</v>
      </c>
      <c r="J7" s="11" t="s">
        <v>688</v>
      </c>
      <c r="K7" s="27">
        <v>1.9038461538461537</v>
      </c>
      <c r="L7" s="11">
        <v>25</v>
      </c>
      <c r="M7" s="11">
        <v>500</v>
      </c>
      <c r="N7" s="11">
        <v>500</v>
      </c>
      <c r="O7" s="11">
        <v>500</v>
      </c>
      <c r="P7" s="11">
        <v>500</v>
      </c>
      <c r="Q7" s="11"/>
      <c r="R7" s="11"/>
      <c r="S7" s="11"/>
    </row>
    <row r="8" spans="1:19" x14ac:dyDescent="0.25">
      <c r="A8" s="25" t="s">
        <v>587</v>
      </c>
      <c r="B8" s="1" t="s">
        <v>496</v>
      </c>
      <c r="C8" s="1">
        <v>1031864</v>
      </c>
      <c r="D8" s="1" t="s">
        <v>565</v>
      </c>
      <c r="E8" s="1" t="s">
        <v>566</v>
      </c>
      <c r="F8" s="28" t="s">
        <v>706</v>
      </c>
      <c r="G8" s="1" t="s">
        <v>641</v>
      </c>
      <c r="H8" s="3"/>
      <c r="I8" s="11">
        <v>0</v>
      </c>
      <c r="J8" s="11"/>
      <c r="K8" s="27">
        <v>0</v>
      </c>
      <c r="L8" s="11">
        <v>25</v>
      </c>
      <c r="M8" s="11">
        <v>20</v>
      </c>
      <c r="N8" s="11">
        <v>20</v>
      </c>
      <c r="O8" s="11">
        <v>20</v>
      </c>
      <c r="P8" s="11">
        <v>20</v>
      </c>
      <c r="Q8" s="11"/>
      <c r="R8" s="11"/>
      <c r="S8" s="11"/>
    </row>
    <row r="9" spans="1:19" x14ac:dyDescent="0.25">
      <c r="A9" s="25" t="s">
        <v>587</v>
      </c>
      <c r="B9" s="1" t="s">
        <v>496</v>
      </c>
      <c r="C9" s="1">
        <v>1433628</v>
      </c>
      <c r="D9" s="1" t="s">
        <v>559</v>
      </c>
      <c r="E9" s="1" t="s">
        <v>560</v>
      </c>
      <c r="F9" s="28" t="s">
        <v>704</v>
      </c>
      <c r="G9" s="1" t="s">
        <v>641</v>
      </c>
      <c r="H9" s="3"/>
      <c r="I9" s="11">
        <v>0</v>
      </c>
      <c r="J9" s="11" t="s">
        <v>688</v>
      </c>
      <c r="K9" s="11">
        <v>0</v>
      </c>
      <c r="L9" s="11">
        <v>25</v>
      </c>
      <c r="M9" s="11">
        <v>300</v>
      </c>
      <c r="N9" s="11">
        <v>300</v>
      </c>
      <c r="O9" s="11">
        <v>300</v>
      </c>
      <c r="P9" s="11">
        <v>300</v>
      </c>
      <c r="Q9" s="11"/>
      <c r="R9" s="11"/>
      <c r="S9" s="11"/>
    </row>
    <row r="10" spans="1:19" x14ac:dyDescent="0.25">
      <c r="A10" s="25" t="s">
        <v>587</v>
      </c>
      <c r="B10" s="1" t="s">
        <v>496</v>
      </c>
      <c r="C10" s="21">
        <v>1032194</v>
      </c>
      <c r="D10" s="21" t="s">
        <v>519</v>
      </c>
      <c r="E10" s="21" t="s">
        <v>520</v>
      </c>
      <c r="F10" s="28" t="s">
        <v>701</v>
      </c>
      <c r="G10" s="1" t="s">
        <v>641</v>
      </c>
      <c r="H10" s="3"/>
      <c r="I10" s="11">
        <v>416</v>
      </c>
      <c r="J10" s="11" t="s">
        <v>688</v>
      </c>
      <c r="K10" s="27">
        <v>8</v>
      </c>
      <c r="L10" s="11">
        <v>25</v>
      </c>
      <c r="M10" s="11">
        <v>100</v>
      </c>
      <c r="N10" s="11">
        <v>100</v>
      </c>
      <c r="O10" s="11">
        <v>100</v>
      </c>
      <c r="P10" s="11">
        <v>100</v>
      </c>
      <c r="Q10" s="11"/>
      <c r="R10" s="11"/>
      <c r="S10" s="11"/>
    </row>
    <row r="11" spans="1:19" x14ac:dyDescent="0.25">
      <c r="A11" s="25" t="s">
        <v>587</v>
      </c>
      <c r="B11" s="1" t="str">
        <f>VLOOKUP(E11,[1]Sheet1!$A:$G,3,FALSE)</f>
        <v>BETTA</v>
      </c>
      <c r="C11" s="1">
        <v>1397630</v>
      </c>
      <c r="D11" s="1" t="str">
        <f>VLOOKUP(E11,[1]Sheet1!$A:$G,5,FALSE)</f>
        <v>147-04615</v>
      </c>
      <c r="E11" s="1" t="s">
        <v>533</v>
      </c>
      <c r="F11" s="28" t="s">
        <v>700</v>
      </c>
      <c r="G11" s="1" t="s">
        <v>637</v>
      </c>
      <c r="H11" s="3"/>
      <c r="I11" s="11">
        <v>52</v>
      </c>
      <c r="J11" s="11" t="s">
        <v>688</v>
      </c>
      <c r="K11" s="27">
        <v>1</v>
      </c>
      <c r="L11" s="11">
        <v>25</v>
      </c>
      <c r="M11" s="11">
        <v>500</v>
      </c>
      <c r="N11" s="11">
        <v>500</v>
      </c>
      <c r="O11" s="11">
        <v>500</v>
      </c>
      <c r="P11" s="11">
        <v>500</v>
      </c>
      <c r="Q11" s="11"/>
      <c r="R11" s="11"/>
      <c r="S11" s="11"/>
    </row>
    <row r="12" spans="1:19" x14ac:dyDescent="0.25">
      <c r="A12" s="25" t="s">
        <v>587</v>
      </c>
      <c r="B12" s="1" t="str">
        <f>VLOOKUP(E12,[1]Sheet1!$A:$G,3,FALSE)</f>
        <v>BETTA</v>
      </c>
      <c r="C12" s="21">
        <v>1397591</v>
      </c>
      <c r="D12" s="21" t="str">
        <f>VLOOKUP(E12,[1]Sheet1!$A:$G,5,FALSE)</f>
        <v>147-04515</v>
      </c>
      <c r="E12" s="21" t="s">
        <v>498</v>
      </c>
      <c r="F12" s="28" t="s">
        <v>700</v>
      </c>
      <c r="G12" s="1" t="s">
        <v>641</v>
      </c>
      <c r="H12" s="3"/>
      <c r="I12" s="11">
        <v>975</v>
      </c>
      <c r="J12" s="11" t="s">
        <v>688</v>
      </c>
      <c r="K12" s="27">
        <v>18.75</v>
      </c>
      <c r="L12" s="11">
        <v>25</v>
      </c>
      <c r="M12" s="11">
        <v>500</v>
      </c>
      <c r="N12" s="11">
        <v>500</v>
      </c>
      <c r="O12" s="11">
        <v>500</v>
      </c>
      <c r="P12" s="11">
        <v>500</v>
      </c>
      <c r="Q12" s="11"/>
      <c r="R12" s="11"/>
      <c r="S12" s="11"/>
    </row>
    <row r="13" spans="1:19" x14ac:dyDescent="0.25">
      <c r="A13" s="25" t="s">
        <v>587</v>
      </c>
      <c r="B13" s="1" t="str">
        <f>VLOOKUP(E13,[1]Sheet1!$A:$G,3,FALSE)</f>
        <v>BETTA</v>
      </c>
      <c r="C13" s="21">
        <v>1397613</v>
      </c>
      <c r="D13" s="21" t="str">
        <f>VLOOKUP(E13,[1]Sheet1!$A:$G,5,FALSE)</f>
        <v>147-04535</v>
      </c>
      <c r="E13" s="21" t="s">
        <v>505</v>
      </c>
      <c r="F13" s="28" t="s">
        <v>700</v>
      </c>
      <c r="G13" s="1" t="s">
        <v>641</v>
      </c>
      <c r="H13" s="3"/>
      <c r="I13" s="11">
        <v>354</v>
      </c>
      <c r="J13" s="11"/>
      <c r="K13" s="27">
        <v>6.8076923076923075</v>
      </c>
      <c r="L13" s="11">
        <v>25</v>
      </c>
      <c r="M13" s="11">
        <v>500</v>
      </c>
      <c r="N13" s="11">
        <v>500</v>
      </c>
      <c r="O13" s="11">
        <v>500</v>
      </c>
      <c r="P13" s="11">
        <v>500</v>
      </c>
      <c r="Q13" s="11"/>
      <c r="R13" s="11"/>
      <c r="S13" s="11"/>
    </row>
    <row r="14" spans="1:19" x14ac:dyDescent="0.25">
      <c r="A14" s="25" t="s">
        <v>587</v>
      </c>
      <c r="B14" s="1" t="str">
        <f>VLOOKUP(E14,[1]Sheet1!$A:$G,3,FALSE)</f>
        <v>BETTA</v>
      </c>
      <c r="C14" s="1">
        <v>1031767</v>
      </c>
      <c r="D14" s="1" t="str">
        <f>VLOOKUP(E14,[1]Sheet1!$A:$G,5,FALSE)</f>
        <v>171-11065</v>
      </c>
      <c r="E14" s="1" t="s">
        <v>525</v>
      </c>
      <c r="F14" s="28" t="s">
        <v>700</v>
      </c>
      <c r="G14" s="1" t="s">
        <v>637</v>
      </c>
      <c r="H14" s="3"/>
      <c r="I14" s="11">
        <v>110</v>
      </c>
      <c r="J14" s="11" t="s">
        <v>688</v>
      </c>
      <c r="K14" s="27">
        <v>2.1153846153846154</v>
      </c>
      <c r="L14" s="11">
        <v>25</v>
      </c>
      <c r="M14" s="11">
        <v>500</v>
      </c>
      <c r="N14" s="11">
        <v>500</v>
      </c>
      <c r="O14" s="11">
        <v>500</v>
      </c>
      <c r="P14" s="11">
        <v>500</v>
      </c>
      <c r="Q14" s="11"/>
      <c r="R14" s="11"/>
      <c r="S14" s="11"/>
    </row>
    <row r="15" spans="1:19" x14ac:dyDescent="0.25">
      <c r="A15" s="25" t="s">
        <v>587</v>
      </c>
      <c r="B15" s="1" t="str">
        <f>VLOOKUP(E15,[1]Sheet1!$A:$G,3,FALSE)</f>
        <v>BETTA</v>
      </c>
      <c r="C15" s="1">
        <v>1397648</v>
      </c>
      <c r="D15" s="1" t="str">
        <f>VLOOKUP(E15,[1]Sheet1!$A:$G,5,FALSE)</f>
        <v>147-04625</v>
      </c>
      <c r="E15" s="1" t="s">
        <v>526</v>
      </c>
      <c r="F15" s="28" t="s">
        <v>700</v>
      </c>
      <c r="G15" s="1" t="s">
        <v>637</v>
      </c>
      <c r="H15" s="3"/>
      <c r="I15" s="11">
        <v>55</v>
      </c>
      <c r="J15" s="11" t="s">
        <v>688</v>
      </c>
      <c r="K15" s="27">
        <v>1.0576923076923077</v>
      </c>
      <c r="L15" s="11">
        <v>25</v>
      </c>
      <c r="M15" s="11">
        <v>500</v>
      </c>
      <c r="N15" s="11">
        <v>500</v>
      </c>
      <c r="O15" s="11">
        <v>500</v>
      </c>
      <c r="P15" s="11">
        <v>500</v>
      </c>
      <c r="Q15" s="11"/>
      <c r="R15" s="11"/>
      <c r="S15" s="11"/>
    </row>
    <row r="16" spans="1:19" x14ac:dyDescent="0.25">
      <c r="A16" s="25" t="s">
        <v>587</v>
      </c>
      <c r="B16" s="1" t="str">
        <f>VLOOKUP(E16,[1]Sheet1!$A:$G,3,FALSE)</f>
        <v>BETTA</v>
      </c>
      <c r="C16" s="21">
        <v>1397605</v>
      </c>
      <c r="D16" s="21" t="str">
        <f>VLOOKUP(E16,[1]Sheet1!$A:$G,5,FALSE)</f>
        <v>147-04525</v>
      </c>
      <c r="E16" s="21" t="s">
        <v>507</v>
      </c>
      <c r="F16" s="28" t="s">
        <v>700</v>
      </c>
      <c r="G16" s="1" t="s">
        <v>641</v>
      </c>
      <c r="H16" s="3"/>
      <c r="I16" s="11">
        <v>381</v>
      </c>
      <c r="J16" s="11" t="s">
        <v>688</v>
      </c>
      <c r="K16" s="27">
        <v>7.3269230769230766</v>
      </c>
      <c r="L16" s="11">
        <v>25</v>
      </c>
      <c r="M16" s="11">
        <v>500</v>
      </c>
      <c r="N16" s="11">
        <v>500</v>
      </c>
      <c r="O16" s="11">
        <v>500</v>
      </c>
      <c r="P16" s="11">
        <v>500</v>
      </c>
      <c r="Q16" s="11"/>
      <c r="R16" s="11"/>
      <c r="S16" s="11"/>
    </row>
    <row r="17" spans="1:19" x14ac:dyDescent="0.25">
      <c r="A17" s="25" t="s">
        <v>587</v>
      </c>
      <c r="B17" s="1" t="str">
        <f>VLOOKUP(E17,[1]Sheet1!$A:$G,3,FALSE)</f>
        <v>BETTA</v>
      </c>
      <c r="C17" s="21">
        <v>1031759</v>
      </c>
      <c r="D17" s="21" t="str">
        <f>VLOOKUP(E17,[1]Sheet1!$A:$G,5,FALSE)</f>
        <v>171-11016</v>
      </c>
      <c r="E17" s="21" t="s">
        <v>497</v>
      </c>
      <c r="F17" s="28" t="s">
        <v>700</v>
      </c>
      <c r="G17" s="1" t="s">
        <v>641</v>
      </c>
      <c r="H17" s="3"/>
      <c r="I17" s="11">
        <v>653</v>
      </c>
      <c r="J17" s="11"/>
      <c r="K17" s="27">
        <v>12.557692307692308</v>
      </c>
      <c r="L17" s="11">
        <v>25</v>
      </c>
      <c r="M17" s="11">
        <v>500</v>
      </c>
      <c r="N17" s="11">
        <v>500</v>
      </c>
      <c r="O17" s="11">
        <v>500</v>
      </c>
      <c r="P17" s="11">
        <v>500</v>
      </c>
      <c r="Q17" s="11"/>
      <c r="R17" s="11"/>
      <c r="S17" s="11"/>
    </row>
    <row r="18" spans="1:19" x14ac:dyDescent="0.25">
      <c r="A18" s="25" t="s">
        <v>587</v>
      </c>
      <c r="B18" s="1" t="str">
        <f>VLOOKUP(E18,[1]Sheet1!$A:$G,3,FALSE)</f>
        <v>BETTA</v>
      </c>
      <c r="C18" s="1">
        <v>1397621</v>
      </c>
      <c r="D18" s="1" t="str">
        <f>VLOOKUP(E18,[1]Sheet1!$A:$G,5,FALSE)</f>
        <v>147-04605</v>
      </c>
      <c r="E18" s="1" t="s">
        <v>543</v>
      </c>
      <c r="F18" s="28" t="s">
        <v>700</v>
      </c>
      <c r="G18" s="1" t="s">
        <v>637</v>
      </c>
      <c r="H18" s="3"/>
      <c r="I18" s="11">
        <v>28</v>
      </c>
      <c r="J18" s="11" t="s">
        <v>688</v>
      </c>
      <c r="K18" s="27">
        <v>0.53846153846153844</v>
      </c>
      <c r="L18" s="11">
        <v>25</v>
      </c>
      <c r="M18" s="11">
        <v>500</v>
      </c>
      <c r="N18" s="11">
        <v>500</v>
      </c>
      <c r="O18" s="11">
        <v>500</v>
      </c>
      <c r="P18" s="11">
        <v>500</v>
      </c>
      <c r="Q18" s="11"/>
      <c r="R18" s="11"/>
      <c r="S18" s="11"/>
    </row>
    <row r="19" spans="1:19" x14ac:dyDescent="0.25">
      <c r="A19" s="25" t="s">
        <v>587</v>
      </c>
      <c r="B19" s="1" t="str">
        <f>VLOOKUP(E19,[1]Sheet1!$A:$G,3,FALSE)</f>
        <v>BETTA</v>
      </c>
      <c r="C19" s="21">
        <v>1397583</v>
      </c>
      <c r="D19" s="21" t="str">
        <f>VLOOKUP(E19,[1]Sheet1!$A:$G,5,FALSE)</f>
        <v>147-04505</v>
      </c>
      <c r="E19" s="21" t="s">
        <v>500</v>
      </c>
      <c r="F19" s="28" t="s">
        <v>700</v>
      </c>
      <c r="G19" s="1" t="s">
        <v>641</v>
      </c>
      <c r="H19" s="3"/>
      <c r="I19" s="11">
        <v>498</v>
      </c>
      <c r="J19" s="11" t="s">
        <v>688</v>
      </c>
      <c r="K19" s="27">
        <v>9.5769230769230766</v>
      </c>
      <c r="L19" s="11">
        <v>25</v>
      </c>
      <c r="M19" s="11">
        <v>500</v>
      </c>
      <c r="N19" s="11">
        <v>500</v>
      </c>
      <c r="O19" s="11">
        <v>500</v>
      </c>
      <c r="P19" s="11">
        <v>500</v>
      </c>
      <c r="Q19" s="11"/>
      <c r="R19" s="11"/>
      <c r="S19" s="11"/>
    </row>
    <row r="20" spans="1:19" x14ac:dyDescent="0.25">
      <c r="A20" s="25" t="s">
        <v>587</v>
      </c>
      <c r="B20" s="1" t="s">
        <v>501</v>
      </c>
      <c r="C20" s="1">
        <v>2609581</v>
      </c>
      <c r="D20" s="1" t="s">
        <v>682</v>
      </c>
      <c r="E20" s="1" t="s">
        <v>683</v>
      </c>
      <c r="F20" s="28" t="s">
        <v>700</v>
      </c>
      <c r="G20" s="1" t="s">
        <v>641</v>
      </c>
      <c r="H20" s="3"/>
      <c r="I20" s="11">
        <v>0</v>
      </c>
      <c r="J20" s="11" t="s">
        <v>688</v>
      </c>
      <c r="K20" s="27">
        <v>0</v>
      </c>
      <c r="L20" s="11">
        <v>25</v>
      </c>
      <c r="M20" s="11">
        <v>500</v>
      </c>
      <c r="N20" s="11">
        <v>500</v>
      </c>
      <c r="O20" s="11">
        <v>500</v>
      </c>
      <c r="P20" s="11">
        <v>500</v>
      </c>
      <c r="Q20" s="11"/>
      <c r="R20" s="11"/>
      <c r="S20" s="11"/>
    </row>
    <row r="21" spans="1:19" x14ac:dyDescent="0.25">
      <c r="A21" s="25" t="s">
        <v>587</v>
      </c>
      <c r="B21" s="1" t="str">
        <f>VLOOKUP(E21,[1]Sheet1!$A:$G,3,FALSE)</f>
        <v>CATFISH, SHARKS &amp; LOACHES</v>
      </c>
      <c r="C21" s="1">
        <v>1032240</v>
      </c>
      <c r="D21" s="1" t="str">
        <f>VLOOKUP(E21,[1]Sheet1!$A:$G,5,FALSE)</f>
        <v>173-61018</v>
      </c>
      <c r="E21" s="1" t="s">
        <v>571</v>
      </c>
      <c r="F21" s="28" t="s">
        <v>707</v>
      </c>
      <c r="G21" s="1" t="s">
        <v>612</v>
      </c>
      <c r="H21" s="3"/>
      <c r="I21" s="11">
        <v>36</v>
      </c>
      <c r="J21" s="11" t="s">
        <v>688</v>
      </c>
      <c r="K21" s="27">
        <v>0.69230769230769229</v>
      </c>
      <c r="L21" s="11">
        <v>25</v>
      </c>
      <c r="M21" s="11">
        <v>15</v>
      </c>
      <c r="N21" s="11">
        <v>15</v>
      </c>
      <c r="O21" s="11">
        <v>15</v>
      </c>
      <c r="P21" s="11">
        <v>9</v>
      </c>
      <c r="Q21" s="11"/>
      <c r="R21" s="11"/>
      <c r="S21" s="11"/>
    </row>
    <row r="22" spans="1:19" x14ac:dyDescent="0.25">
      <c r="A22" s="25" t="s">
        <v>587</v>
      </c>
      <c r="B22" s="1" t="str">
        <f>VLOOKUP(E22,[1]Sheet1!$A:$G,3,FALSE)</f>
        <v>CATFISH, SHARKS &amp; LOACHES</v>
      </c>
      <c r="C22" s="1">
        <v>1032275</v>
      </c>
      <c r="D22" s="1" t="str">
        <f>VLOOKUP(E22,[1]Sheet1!$A:$G,5,FALSE)</f>
        <v>173-61048</v>
      </c>
      <c r="E22" s="1" t="s">
        <v>532</v>
      </c>
      <c r="F22" s="28" t="s">
        <v>708</v>
      </c>
      <c r="G22" s="1" t="s">
        <v>612</v>
      </c>
      <c r="H22" s="3"/>
      <c r="I22" s="11">
        <v>32</v>
      </c>
      <c r="J22" s="11" t="s">
        <v>688</v>
      </c>
      <c r="K22" s="27">
        <v>0.61538461538461542</v>
      </c>
      <c r="L22" s="11">
        <v>25</v>
      </c>
      <c r="M22" s="11">
        <v>5</v>
      </c>
      <c r="N22" s="11">
        <v>5</v>
      </c>
      <c r="O22" s="11">
        <v>3</v>
      </c>
      <c r="P22" s="11">
        <v>3</v>
      </c>
      <c r="Q22" s="11"/>
      <c r="R22" s="11"/>
      <c r="S22" s="11"/>
    </row>
    <row r="23" spans="1:19" x14ac:dyDescent="0.25">
      <c r="A23" s="25" t="s">
        <v>587</v>
      </c>
      <c r="B23" s="1" t="s">
        <v>531</v>
      </c>
      <c r="C23" s="21">
        <v>1031686</v>
      </c>
      <c r="D23" s="1" t="s">
        <v>541</v>
      </c>
      <c r="E23" s="1" t="s">
        <v>542</v>
      </c>
      <c r="F23" s="28" t="s">
        <v>702</v>
      </c>
      <c r="G23" s="1" t="s">
        <v>612</v>
      </c>
      <c r="H23" s="3"/>
      <c r="I23" s="11">
        <v>0</v>
      </c>
      <c r="J23" s="11" t="s">
        <v>688</v>
      </c>
      <c r="K23" s="11">
        <v>0</v>
      </c>
      <c r="L23" s="11">
        <v>25</v>
      </c>
      <c r="M23" s="11">
        <v>25</v>
      </c>
      <c r="N23" s="11">
        <v>25</v>
      </c>
      <c r="O23" s="11">
        <v>20</v>
      </c>
      <c r="P23" s="11">
        <v>20</v>
      </c>
      <c r="Q23" s="11"/>
      <c r="R23" s="11"/>
      <c r="S23" s="11"/>
    </row>
    <row r="24" spans="1:19" x14ac:dyDescent="0.25">
      <c r="A24" s="25" t="s">
        <v>587</v>
      </c>
      <c r="B24" s="1" t="str">
        <f>VLOOKUP(E24,[1]Sheet1!$A:$G,3,FALSE)</f>
        <v>CICHLIDS</v>
      </c>
      <c r="C24" s="1">
        <v>1433962</v>
      </c>
      <c r="D24" s="1" t="str">
        <f>VLOOKUP(E24,[1]Sheet1!$A:$G,5,FALSE)</f>
        <v>147-08403</v>
      </c>
      <c r="E24" s="1" t="s">
        <v>557</v>
      </c>
      <c r="F24" s="28" t="s">
        <v>709</v>
      </c>
      <c r="G24" s="1" t="s">
        <v>637</v>
      </c>
      <c r="H24" s="3"/>
      <c r="I24" s="11">
        <v>0</v>
      </c>
      <c r="J24" s="11"/>
      <c r="K24" s="11">
        <v>0</v>
      </c>
      <c r="L24" s="11">
        <v>25</v>
      </c>
      <c r="M24" s="11">
        <v>10</v>
      </c>
      <c r="N24" s="11">
        <v>10</v>
      </c>
      <c r="O24" s="11">
        <v>6</v>
      </c>
      <c r="P24" s="11">
        <v>6</v>
      </c>
      <c r="Q24" s="11"/>
      <c r="R24" s="11"/>
      <c r="S24" s="11"/>
    </row>
    <row r="25" spans="1:19" x14ac:dyDescent="0.25">
      <c r="A25" s="25" t="s">
        <v>587</v>
      </c>
      <c r="B25" s="1" t="str">
        <f>VLOOKUP(E25,[1]Sheet1!$A:$G,3,FALSE)</f>
        <v>CICHLIDS</v>
      </c>
      <c r="C25" s="1">
        <v>1031899</v>
      </c>
      <c r="D25" s="1" t="str">
        <f>VLOOKUP(E25,[1]Sheet1!$A:$G,5,FALSE)</f>
        <v>173-162512</v>
      </c>
      <c r="E25" s="1" t="s">
        <v>573</v>
      </c>
      <c r="F25" s="28" t="s">
        <v>710</v>
      </c>
      <c r="G25" s="1" t="s">
        <v>637</v>
      </c>
      <c r="H25" s="3" t="s">
        <v>843</v>
      </c>
      <c r="I25" s="11">
        <v>0</v>
      </c>
      <c r="J25" s="11" t="s">
        <v>688</v>
      </c>
      <c r="K25" s="11">
        <v>0</v>
      </c>
      <c r="L25" s="11">
        <v>25</v>
      </c>
      <c r="M25" s="11">
        <v>3</v>
      </c>
      <c r="N25" s="11">
        <v>3</v>
      </c>
      <c r="O25" s="11">
        <v>2</v>
      </c>
      <c r="P25" s="11">
        <v>2</v>
      </c>
      <c r="Q25" s="11"/>
      <c r="R25" s="11"/>
      <c r="S25" s="11"/>
    </row>
    <row r="26" spans="1:19" x14ac:dyDescent="0.25">
      <c r="A26" s="25" t="s">
        <v>587</v>
      </c>
      <c r="B26" s="1" t="str">
        <f>VLOOKUP(E26,[1]Sheet1!$A:$G,3,FALSE)</f>
        <v>CICHLIDS</v>
      </c>
      <c r="C26" s="1">
        <v>1031880</v>
      </c>
      <c r="D26" s="1" t="str">
        <f>VLOOKUP(E26,[1]Sheet1!$A:$G,5,FALSE)</f>
        <v>173-162412</v>
      </c>
      <c r="E26" s="1" t="s">
        <v>576</v>
      </c>
      <c r="F26" s="28" t="s">
        <v>711</v>
      </c>
      <c r="G26" s="1" t="s">
        <v>635</v>
      </c>
      <c r="H26" s="3"/>
      <c r="I26" s="11">
        <v>0</v>
      </c>
      <c r="J26" s="11"/>
      <c r="K26" s="11">
        <v>0</v>
      </c>
      <c r="L26" s="11">
        <v>25</v>
      </c>
      <c r="M26" s="11">
        <v>0</v>
      </c>
      <c r="N26" s="11">
        <v>0</v>
      </c>
      <c r="O26" s="11">
        <v>0</v>
      </c>
      <c r="P26" s="11">
        <v>0</v>
      </c>
      <c r="Q26" s="11"/>
      <c r="R26" s="11"/>
      <c r="S26" s="11"/>
    </row>
    <row r="27" spans="1:19" x14ac:dyDescent="0.25">
      <c r="A27" s="25" t="s">
        <v>587</v>
      </c>
      <c r="B27" s="1" t="s">
        <v>546</v>
      </c>
      <c r="C27" s="1">
        <v>1031872</v>
      </c>
      <c r="D27" s="1" t="s">
        <v>577</v>
      </c>
      <c r="E27" s="1" t="s">
        <v>578</v>
      </c>
      <c r="F27" s="28" t="s">
        <v>706</v>
      </c>
      <c r="G27" s="1" t="s">
        <v>637</v>
      </c>
      <c r="H27" s="3"/>
      <c r="I27" s="11">
        <v>0</v>
      </c>
      <c r="J27" s="11"/>
      <c r="K27" s="11">
        <v>0</v>
      </c>
      <c r="L27" s="11">
        <v>25</v>
      </c>
      <c r="M27" s="11">
        <v>10</v>
      </c>
      <c r="N27" s="11">
        <v>10</v>
      </c>
      <c r="O27" s="11">
        <v>10</v>
      </c>
      <c r="P27" s="11">
        <v>10</v>
      </c>
      <c r="Q27" s="11"/>
      <c r="R27" s="11"/>
      <c r="S27" s="11"/>
    </row>
    <row r="28" spans="1:19" x14ac:dyDescent="0.25">
      <c r="A28" s="25" t="s">
        <v>587</v>
      </c>
      <c r="B28" s="1" t="s">
        <v>546</v>
      </c>
      <c r="C28" s="21">
        <v>1032305</v>
      </c>
      <c r="D28" s="21" t="s">
        <v>516</v>
      </c>
      <c r="E28" s="21" t="s">
        <v>517</v>
      </c>
      <c r="F28" s="28" t="s">
        <v>705</v>
      </c>
      <c r="G28" s="1" t="s">
        <v>635</v>
      </c>
      <c r="H28" s="3"/>
      <c r="I28" s="11">
        <v>354</v>
      </c>
      <c r="J28" s="11" t="s">
        <v>688</v>
      </c>
      <c r="K28" s="27">
        <v>6.8076923076923075</v>
      </c>
      <c r="L28" s="11">
        <v>25</v>
      </c>
      <c r="M28" s="11">
        <v>50</v>
      </c>
      <c r="N28" s="11">
        <v>50</v>
      </c>
      <c r="O28" s="11">
        <v>0</v>
      </c>
      <c r="P28" s="11">
        <v>0</v>
      </c>
      <c r="Q28" s="11"/>
      <c r="R28" s="11"/>
      <c r="S28" s="11"/>
    </row>
    <row r="29" spans="1:19" x14ac:dyDescent="0.25">
      <c r="A29" s="25" t="s">
        <v>587</v>
      </c>
      <c r="B29" s="1" t="s">
        <v>546</v>
      </c>
      <c r="C29" s="1"/>
      <c r="D29" s="1" t="s">
        <v>539</v>
      </c>
      <c r="E29" s="1" t="s">
        <v>540</v>
      </c>
      <c r="F29" s="28" t="s">
        <v>712</v>
      </c>
      <c r="G29" s="1" t="s">
        <v>637</v>
      </c>
      <c r="H29" s="3"/>
      <c r="I29" s="11">
        <v>0</v>
      </c>
      <c r="J29" s="11"/>
      <c r="K29" s="11">
        <v>0</v>
      </c>
      <c r="L29" s="11">
        <v>25</v>
      </c>
      <c r="M29" s="11">
        <v>500</v>
      </c>
      <c r="N29" s="11">
        <v>500</v>
      </c>
      <c r="O29" s="11">
        <v>500</v>
      </c>
      <c r="P29" s="11">
        <v>500</v>
      </c>
      <c r="Q29" s="11"/>
      <c r="R29" s="11"/>
      <c r="S29" s="11"/>
    </row>
    <row r="30" spans="1:19" x14ac:dyDescent="0.25">
      <c r="A30" s="25" t="s">
        <v>587</v>
      </c>
      <c r="B30" s="1" t="s">
        <v>546</v>
      </c>
      <c r="C30" s="1">
        <v>1031856</v>
      </c>
      <c r="D30" s="1" t="s">
        <v>583</v>
      </c>
      <c r="E30" s="1" t="s">
        <v>584</v>
      </c>
      <c r="F30" s="28" t="s">
        <v>706</v>
      </c>
      <c r="G30" s="1" t="s">
        <v>637</v>
      </c>
      <c r="H30" s="3"/>
      <c r="I30" s="11">
        <v>0</v>
      </c>
      <c r="J30" s="11"/>
      <c r="K30" s="11">
        <v>0</v>
      </c>
      <c r="L30" s="11">
        <v>25</v>
      </c>
      <c r="M30" s="11">
        <v>10</v>
      </c>
      <c r="N30" s="11">
        <v>10</v>
      </c>
      <c r="O30" s="11">
        <v>10</v>
      </c>
      <c r="P30" s="11">
        <v>10</v>
      </c>
      <c r="Q30" s="11"/>
      <c r="R30" s="11"/>
      <c r="S30" s="11"/>
    </row>
    <row r="31" spans="1:19" x14ac:dyDescent="0.25">
      <c r="A31" s="25" t="s">
        <v>587</v>
      </c>
      <c r="B31" s="1" t="s">
        <v>501</v>
      </c>
      <c r="C31" s="1">
        <v>1032267</v>
      </c>
      <c r="D31" s="1" t="s">
        <v>567</v>
      </c>
      <c r="E31" s="1" t="s">
        <v>568</v>
      </c>
      <c r="F31" s="28" t="s">
        <v>705</v>
      </c>
      <c r="G31" s="1" t="s">
        <v>641</v>
      </c>
      <c r="H31" s="3"/>
      <c r="I31" s="11">
        <v>0</v>
      </c>
      <c r="J31" s="11"/>
      <c r="K31" s="11">
        <v>0</v>
      </c>
      <c r="L31" s="11">
        <v>25</v>
      </c>
      <c r="M31" s="11">
        <v>10</v>
      </c>
      <c r="N31" s="11">
        <v>10</v>
      </c>
      <c r="O31" s="11">
        <v>10</v>
      </c>
      <c r="P31" s="11">
        <v>10</v>
      </c>
      <c r="Q31" s="11"/>
      <c r="R31" s="11"/>
      <c r="S31" s="11"/>
    </row>
    <row r="32" spans="1:19" x14ac:dyDescent="0.25">
      <c r="A32" s="25" t="s">
        <v>587</v>
      </c>
      <c r="B32" s="1" t="str">
        <f>VLOOKUP(E32,[1]Sheet1!$A:$G,3,FALSE)</f>
        <v>FANCY BETTA</v>
      </c>
      <c r="C32" s="1">
        <v>1558307</v>
      </c>
      <c r="D32" s="1" t="str">
        <f>VLOOKUP(E32,[1]Sheet1!$A:$G,5,FALSE)</f>
        <v>147-04826</v>
      </c>
      <c r="E32" s="1" t="s">
        <v>585</v>
      </c>
      <c r="F32" s="28" t="s">
        <v>700</v>
      </c>
      <c r="G32" s="1" t="s">
        <v>657</v>
      </c>
      <c r="H32" s="3"/>
      <c r="I32" s="11">
        <v>0</v>
      </c>
      <c r="J32" s="11"/>
      <c r="K32" s="11">
        <v>0</v>
      </c>
      <c r="L32" s="11">
        <v>25</v>
      </c>
      <c r="M32" s="11">
        <v>500</v>
      </c>
      <c r="N32" s="11">
        <v>500</v>
      </c>
      <c r="O32" s="11">
        <v>500</v>
      </c>
      <c r="P32" s="11">
        <v>500</v>
      </c>
      <c r="Q32" s="11"/>
      <c r="R32" s="11"/>
      <c r="S32" s="11"/>
    </row>
    <row r="33" spans="1:19" x14ac:dyDescent="0.25">
      <c r="A33" s="25" t="s">
        <v>587</v>
      </c>
      <c r="B33" s="1" t="str">
        <f>VLOOKUP(E33,[1]Sheet1!$A:$G,3,FALSE)</f>
        <v>FANCY BETTA</v>
      </c>
      <c r="C33" s="1">
        <v>1397702</v>
      </c>
      <c r="D33" s="1" t="str">
        <f>VLOOKUP(E33,[1]Sheet1!$A:$G,5,FALSE)</f>
        <v>147-04815</v>
      </c>
      <c r="E33" s="1" t="s">
        <v>534</v>
      </c>
      <c r="F33" s="28" t="s">
        <v>700</v>
      </c>
      <c r="G33" s="1" t="s">
        <v>637</v>
      </c>
      <c r="H33" s="3"/>
      <c r="I33" s="11">
        <v>32</v>
      </c>
      <c r="J33" s="11" t="s">
        <v>688</v>
      </c>
      <c r="K33" s="27">
        <v>0.61538461538461542</v>
      </c>
      <c r="L33" s="11">
        <v>25</v>
      </c>
      <c r="M33" s="11">
        <v>500</v>
      </c>
      <c r="N33" s="11">
        <v>500</v>
      </c>
      <c r="O33" s="11">
        <v>500</v>
      </c>
      <c r="P33" s="11">
        <v>500</v>
      </c>
      <c r="Q33" s="11"/>
      <c r="R33" s="11"/>
      <c r="S33" s="11"/>
    </row>
    <row r="34" spans="1:19" x14ac:dyDescent="0.25">
      <c r="A34" s="25" t="s">
        <v>587</v>
      </c>
      <c r="B34" s="1" t="str">
        <f>VLOOKUP(E34,[1]Sheet1!$A:$G,3,FALSE)</f>
        <v>FANCY BETTA</v>
      </c>
      <c r="C34" s="1">
        <v>1397664</v>
      </c>
      <c r="D34" s="1" t="str">
        <f>VLOOKUP(E34,[1]Sheet1!$A:$G,5,FALSE)</f>
        <v>147-04715</v>
      </c>
      <c r="E34" s="1" t="s">
        <v>512</v>
      </c>
      <c r="F34" s="28" t="s">
        <v>700</v>
      </c>
      <c r="G34" s="1" t="s">
        <v>641</v>
      </c>
      <c r="H34" s="3"/>
      <c r="I34" s="11">
        <v>114</v>
      </c>
      <c r="J34" s="11" t="s">
        <v>688</v>
      </c>
      <c r="K34" s="27">
        <v>2.1923076923076925</v>
      </c>
      <c r="L34" s="11">
        <v>25</v>
      </c>
      <c r="M34" s="11">
        <v>500</v>
      </c>
      <c r="N34" s="11">
        <v>500</v>
      </c>
      <c r="O34" s="11">
        <v>500</v>
      </c>
      <c r="P34" s="11">
        <v>500</v>
      </c>
      <c r="Q34" s="11"/>
      <c r="R34" s="11"/>
      <c r="S34" s="11"/>
    </row>
    <row r="35" spans="1:19" x14ac:dyDescent="0.25">
      <c r="A35" s="25" t="s">
        <v>587</v>
      </c>
      <c r="B35" s="1" t="str">
        <f>VLOOKUP(E35,[1]Sheet1!$A:$G,3,FALSE)</f>
        <v>FANCY BETTA</v>
      </c>
      <c r="C35" s="1">
        <v>1397680</v>
      </c>
      <c r="D35" s="1" t="str">
        <f>VLOOKUP(E35,[1]Sheet1!$A:$G,5,FALSE)</f>
        <v>147-04735</v>
      </c>
      <c r="E35" s="1" t="s">
        <v>545</v>
      </c>
      <c r="F35" s="28" t="s">
        <v>700</v>
      </c>
      <c r="G35" s="1" t="s">
        <v>641</v>
      </c>
      <c r="H35" s="3"/>
      <c r="I35" s="11">
        <v>19</v>
      </c>
      <c r="J35" s="11"/>
      <c r="K35" s="27">
        <v>0.36538461538461536</v>
      </c>
      <c r="L35" s="11">
        <v>25</v>
      </c>
      <c r="M35" s="11">
        <v>500</v>
      </c>
      <c r="N35" s="11">
        <v>500</v>
      </c>
      <c r="O35" s="11">
        <v>500</v>
      </c>
      <c r="P35" s="11">
        <v>500</v>
      </c>
      <c r="Q35" s="11"/>
      <c r="R35" s="11"/>
      <c r="S35" s="11"/>
    </row>
    <row r="36" spans="1:19" x14ac:dyDescent="0.25">
      <c r="A36" s="25" t="s">
        <v>587</v>
      </c>
      <c r="B36" s="1" t="str">
        <f>VLOOKUP(E36,[1]Sheet1!$A:$G,3,FALSE)</f>
        <v>FANCY BETTA</v>
      </c>
      <c r="C36" s="1">
        <v>1031775</v>
      </c>
      <c r="D36" s="1" t="str">
        <f>VLOOKUP(E36,[1]Sheet1!$A:$G,5,FALSE)</f>
        <v>171-11087</v>
      </c>
      <c r="E36" s="1" t="s">
        <v>502</v>
      </c>
      <c r="F36" s="28" t="s">
        <v>700</v>
      </c>
      <c r="G36" s="1" t="s">
        <v>641</v>
      </c>
      <c r="H36" s="3"/>
      <c r="I36" s="11">
        <v>273</v>
      </c>
      <c r="J36" s="11" t="s">
        <v>688</v>
      </c>
      <c r="K36" s="27">
        <v>5.25</v>
      </c>
      <c r="L36" s="11">
        <v>25</v>
      </c>
      <c r="M36" s="11">
        <v>500</v>
      </c>
      <c r="N36" s="11">
        <v>500</v>
      </c>
      <c r="O36" s="11">
        <v>500</v>
      </c>
      <c r="P36" s="11">
        <v>500</v>
      </c>
      <c r="Q36" s="11"/>
      <c r="R36" s="11"/>
      <c r="S36" s="11"/>
    </row>
    <row r="37" spans="1:19" x14ac:dyDescent="0.25">
      <c r="A37" s="25" t="s">
        <v>587</v>
      </c>
      <c r="B37" s="1" t="str">
        <f>VLOOKUP(E37,[1]Sheet1!$A:$G,3,FALSE)</f>
        <v>FANCY BETTA</v>
      </c>
      <c r="C37" s="1">
        <v>1031724</v>
      </c>
      <c r="D37" s="1" t="str">
        <f>VLOOKUP(E37,[1]Sheet1!$A:$G,5,FALSE)</f>
        <v>171-111014</v>
      </c>
      <c r="E37" s="1" t="s">
        <v>561</v>
      </c>
      <c r="F37" s="28" t="s">
        <v>700</v>
      </c>
      <c r="G37" s="1" t="s">
        <v>641</v>
      </c>
      <c r="H37" s="3"/>
      <c r="I37" s="11">
        <v>5</v>
      </c>
      <c r="J37" s="11" t="s">
        <v>688</v>
      </c>
      <c r="K37" s="27">
        <v>9.6153846153846159E-2</v>
      </c>
      <c r="L37" s="11">
        <v>25</v>
      </c>
      <c r="M37" s="11">
        <v>500</v>
      </c>
      <c r="N37" s="11">
        <v>500</v>
      </c>
      <c r="O37" s="11">
        <v>500</v>
      </c>
      <c r="P37" s="11">
        <v>500</v>
      </c>
      <c r="Q37" s="11"/>
      <c r="R37" s="11"/>
      <c r="S37" s="11"/>
    </row>
    <row r="38" spans="1:19" x14ac:dyDescent="0.25">
      <c r="A38" s="25" t="s">
        <v>587</v>
      </c>
      <c r="B38" s="1" t="str">
        <f>VLOOKUP(E38,[1]Sheet1!$A:$G,3,FALSE)</f>
        <v>FANCY BETTA</v>
      </c>
      <c r="C38" s="1">
        <v>1397540</v>
      </c>
      <c r="D38" s="1" t="str">
        <f>VLOOKUP(E38,[1]Sheet1!$A:$G,5,FALSE)</f>
        <v>147-04096</v>
      </c>
      <c r="E38" s="1" t="s">
        <v>563</v>
      </c>
      <c r="F38" s="28" t="s">
        <v>700</v>
      </c>
      <c r="G38" s="1" t="s">
        <v>641</v>
      </c>
      <c r="H38" s="3"/>
      <c r="I38" s="11">
        <v>20</v>
      </c>
      <c r="J38" s="11" t="s">
        <v>688</v>
      </c>
      <c r="K38" s="27">
        <v>0.38461538461538464</v>
      </c>
      <c r="L38" s="11">
        <v>25</v>
      </c>
      <c r="M38" s="11">
        <v>500</v>
      </c>
      <c r="N38" s="11">
        <v>500</v>
      </c>
      <c r="O38" s="11">
        <v>500</v>
      </c>
      <c r="P38" s="11">
        <v>500</v>
      </c>
      <c r="Q38" s="11"/>
      <c r="R38" s="11"/>
      <c r="S38" s="11"/>
    </row>
    <row r="39" spans="1:19" x14ac:dyDescent="0.25">
      <c r="A39" s="25" t="s">
        <v>587</v>
      </c>
      <c r="B39" s="1" t="str">
        <f>VLOOKUP(E39,[1]Sheet1!$A:$G,3,FALSE)</f>
        <v>FANCY BETTA</v>
      </c>
      <c r="C39" s="1">
        <v>1397559</v>
      </c>
      <c r="D39" s="1" t="str">
        <f>VLOOKUP(E39,[1]Sheet1!$A:$G,5,FALSE)</f>
        <v>147-04315</v>
      </c>
      <c r="E39" s="1" t="s">
        <v>537</v>
      </c>
      <c r="F39" s="28" t="s">
        <v>700</v>
      </c>
      <c r="G39" s="1" t="s">
        <v>641</v>
      </c>
      <c r="H39" s="3"/>
      <c r="I39" s="11">
        <v>22</v>
      </c>
      <c r="J39" s="11" t="s">
        <v>688</v>
      </c>
      <c r="K39" s="27">
        <v>0.42307692307692307</v>
      </c>
      <c r="L39" s="11">
        <v>25</v>
      </c>
      <c r="M39" s="11">
        <v>500</v>
      </c>
      <c r="N39" s="11">
        <v>500</v>
      </c>
      <c r="O39" s="11">
        <v>500</v>
      </c>
      <c r="P39" s="11">
        <v>500</v>
      </c>
      <c r="Q39" s="11"/>
      <c r="R39" s="11"/>
      <c r="S39" s="11"/>
    </row>
    <row r="40" spans="1:19" x14ac:dyDescent="0.25">
      <c r="A40" s="25" t="s">
        <v>587</v>
      </c>
      <c r="B40" s="1" t="str">
        <f>VLOOKUP(E40,[1]Sheet1!$A:$G,3,FALSE)</f>
        <v>FANCY BETTA</v>
      </c>
      <c r="C40" s="1">
        <v>2139250</v>
      </c>
      <c r="D40" s="1" t="str">
        <f>VLOOKUP(E40,[1]Sheet1!$A:$G,5,FALSE)</f>
        <v>179-112110</v>
      </c>
      <c r="E40" s="1" t="s">
        <v>572</v>
      </c>
      <c r="F40" s="28" t="s">
        <v>700</v>
      </c>
      <c r="G40" s="1" t="s">
        <v>641</v>
      </c>
      <c r="H40" s="3"/>
      <c r="I40" s="11">
        <v>0</v>
      </c>
      <c r="J40" s="11" t="s">
        <v>688</v>
      </c>
      <c r="K40" s="11">
        <v>0</v>
      </c>
      <c r="L40" s="11">
        <v>25</v>
      </c>
      <c r="M40" s="11">
        <v>500</v>
      </c>
      <c r="N40" s="11">
        <v>500</v>
      </c>
      <c r="O40" s="11">
        <v>500</v>
      </c>
      <c r="P40" s="11">
        <v>500</v>
      </c>
      <c r="Q40" s="11"/>
      <c r="R40" s="11"/>
      <c r="S40" s="11"/>
    </row>
    <row r="41" spans="1:19" x14ac:dyDescent="0.25">
      <c r="A41" s="25" t="s">
        <v>587</v>
      </c>
      <c r="B41" s="1" t="str">
        <f>VLOOKUP(E41,[1]Sheet1!$A:$G,3,FALSE)</f>
        <v>FANCY BETTA</v>
      </c>
      <c r="C41" s="1">
        <v>2137318</v>
      </c>
      <c r="D41" s="1" t="str">
        <f>VLOOKUP(E41,[1]Sheet1!$A:$G,5,FALSE)</f>
        <v>179-112010</v>
      </c>
      <c r="E41" s="1" t="s">
        <v>586</v>
      </c>
      <c r="F41" s="28" t="s">
        <v>700</v>
      </c>
      <c r="G41" s="1" t="s">
        <v>641</v>
      </c>
      <c r="H41" s="3"/>
      <c r="I41" s="11">
        <v>0</v>
      </c>
      <c r="J41" s="11" t="s">
        <v>688</v>
      </c>
      <c r="K41" s="11">
        <v>0</v>
      </c>
      <c r="L41" s="11">
        <v>25</v>
      </c>
      <c r="M41" s="11">
        <v>500</v>
      </c>
      <c r="N41" s="11">
        <v>500</v>
      </c>
      <c r="O41" s="11">
        <v>500</v>
      </c>
      <c r="P41" s="11">
        <v>500</v>
      </c>
      <c r="Q41" s="11"/>
      <c r="R41" s="11"/>
      <c r="S41" s="11"/>
    </row>
    <row r="42" spans="1:19" x14ac:dyDescent="0.25">
      <c r="A42" s="25" t="s">
        <v>587</v>
      </c>
      <c r="B42" s="1" t="str">
        <f>VLOOKUP(E42,[1]Sheet1!$A:$G,3,FALSE)</f>
        <v>FANCY BETTA</v>
      </c>
      <c r="C42" s="1">
        <v>1545817</v>
      </c>
      <c r="D42" s="1" t="str">
        <f>VLOOKUP(E42,[1]Sheet1!$A:$G,5,FALSE)</f>
        <v>179-111910</v>
      </c>
      <c r="E42" s="1" t="s">
        <v>562</v>
      </c>
      <c r="F42" s="28" t="s">
        <v>700</v>
      </c>
      <c r="G42" s="1" t="s">
        <v>641</v>
      </c>
      <c r="H42" s="3"/>
      <c r="I42" s="11">
        <v>1</v>
      </c>
      <c r="J42" s="11"/>
      <c r="K42" s="27">
        <v>1.9230769230769232E-2</v>
      </c>
      <c r="L42" s="11">
        <v>25</v>
      </c>
      <c r="M42" s="11">
        <v>500</v>
      </c>
      <c r="N42" s="11">
        <v>500</v>
      </c>
      <c r="O42" s="11">
        <v>500</v>
      </c>
      <c r="P42" s="11">
        <v>500</v>
      </c>
      <c r="Q42" s="11"/>
      <c r="R42" s="11"/>
      <c r="S42" s="11"/>
    </row>
    <row r="43" spans="1:19" x14ac:dyDescent="0.25">
      <c r="A43" s="25" t="s">
        <v>587</v>
      </c>
      <c r="B43" s="1" t="str">
        <f>VLOOKUP(E43,[1]Sheet1!$A:$G,3,FALSE)</f>
        <v>FANCY BETTA</v>
      </c>
      <c r="C43" s="1">
        <v>1031783</v>
      </c>
      <c r="D43" s="1" t="str">
        <f>VLOOKUP(E43,[1]Sheet1!$A:$G,5,FALSE)</f>
        <v>171-11095</v>
      </c>
      <c r="E43" s="1" t="s">
        <v>524</v>
      </c>
      <c r="F43" s="28" t="s">
        <v>700</v>
      </c>
      <c r="G43" s="1" t="s">
        <v>637</v>
      </c>
      <c r="H43" s="3"/>
      <c r="I43" s="11">
        <v>27</v>
      </c>
      <c r="J43" s="11" t="s">
        <v>688</v>
      </c>
      <c r="K43" s="27">
        <v>0.51923076923076927</v>
      </c>
      <c r="L43" s="11">
        <v>25</v>
      </c>
      <c r="M43" s="11">
        <v>500</v>
      </c>
      <c r="N43" s="11">
        <v>500</v>
      </c>
      <c r="O43" s="11">
        <v>500</v>
      </c>
      <c r="P43" s="11">
        <v>500</v>
      </c>
      <c r="Q43" s="11"/>
      <c r="R43" s="11"/>
      <c r="S43" s="11"/>
    </row>
    <row r="44" spans="1:19" x14ac:dyDescent="0.25">
      <c r="A44" s="25" t="s">
        <v>587</v>
      </c>
      <c r="B44" s="1" t="str">
        <f>VLOOKUP(E44,[1]Sheet1!$A:$G,3,FALSE)</f>
        <v>FANCY BETTA</v>
      </c>
      <c r="C44" s="1">
        <v>1397710</v>
      </c>
      <c r="D44" s="1" t="str">
        <f>VLOOKUP(E44,[1]Sheet1!$A:$G,5,FALSE)</f>
        <v>147-04825</v>
      </c>
      <c r="E44" s="1" t="s">
        <v>552</v>
      </c>
      <c r="F44" s="28" t="s">
        <v>700</v>
      </c>
      <c r="G44" s="1" t="s">
        <v>637</v>
      </c>
      <c r="H44" s="3"/>
      <c r="I44" s="11">
        <v>21</v>
      </c>
      <c r="J44" s="11" t="s">
        <v>688</v>
      </c>
      <c r="K44" s="27">
        <v>0.40384615384615385</v>
      </c>
      <c r="L44" s="11">
        <v>25</v>
      </c>
      <c r="M44" s="11">
        <v>500</v>
      </c>
      <c r="N44" s="11">
        <v>500</v>
      </c>
      <c r="O44" s="11">
        <v>500</v>
      </c>
      <c r="P44" s="11">
        <v>500</v>
      </c>
      <c r="Q44" s="11"/>
      <c r="R44" s="11"/>
      <c r="S44" s="11"/>
    </row>
    <row r="45" spans="1:19" x14ac:dyDescent="0.25">
      <c r="A45" s="25" t="s">
        <v>587</v>
      </c>
      <c r="B45" s="1" t="str">
        <f>VLOOKUP(E45,[1]Sheet1!$A:$G,3,FALSE)</f>
        <v>FANCY BETTA</v>
      </c>
      <c r="C45" s="1">
        <v>1397672</v>
      </c>
      <c r="D45" s="1" t="str">
        <f>VLOOKUP(E45,[1]Sheet1!$A:$G,5,FALSE)</f>
        <v>147-04725</v>
      </c>
      <c r="E45" s="1" t="s">
        <v>508</v>
      </c>
      <c r="F45" s="28" t="s">
        <v>700</v>
      </c>
      <c r="G45" s="1" t="s">
        <v>641</v>
      </c>
      <c r="H45" s="3"/>
      <c r="I45" s="11">
        <v>96</v>
      </c>
      <c r="J45" s="11" t="s">
        <v>688</v>
      </c>
      <c r="K45" s="27">
        <v>1.8461538461538463</v>
      </c>
      <c r="L45" s="11">
        <v>25</v>
      </c>
      <c r="M45" s="11">
        <v>500</v>
      </c>
      <c r="N45" s="11">
        <v>500</v>
      </c>
      <c r="O45" s="11">
        <v>500</v>
      </c>
      <c r="P45" s="11">
        <v>500</v>
      </c>
      <c r="Q45" s="11"/>
      <c r="R45" s="11"/>
      <c r="S45" s="11"/>
    </row>
    <row r="46" spans="1:19" x14ac:dyDescent="0.25">
      <c r="A46" s="25" t="s">
        <v>587</v>
      </c>
      <c r="B46" s="1" t="str">
        <f>VLOOKUP(E46,[1]Sheet1!$A:$G,3,FALSE)</f>
        <v>FANCY BETTA</v>
      </c>
      <c r="C46" s="1">
        <v>1031740</v>
      </c>
      <c r="D46" s="1" t="str">
        <f>VLOOKUP(E46,[1]Sheet1!$A:$G,5,FALSE)</f>
        <v>171-11206</v>
      </c>
      <c r="E46" s="1" t="s">
        <v>544</v>
      </c>
      <c r="F46" s="28" t="s">
        <v>700</v>
      </c>
      <c r="G46" s="1" t="s">
        <v>641</v>
      </c>
      <c r="H46" s="3"/>
      <c r="I46" s="11">
        <v>22</v>
      </c>
      <c r="J46" s="11" t="s">
        <v>688</v>
      </c>
      <c r="K46" s="27">
        <v>0.42307692307692307</v>
      </c>
      <c r="L46" s="11">
        <v>25</v>
      </c>
      <c r="M46" s="11">
        <v>500</v>
      </c>
      <c r="N46" s="11">
        <v>500</v>
      </c>
      <c r="O46" s="11">
        <v>500</v>
      </c>
      <c r="P46" s="11">
        <v>500</v>
      </c>
      <c r="Q46" s="11"/>
      <c r="R46" s="11"/>
      <c r="S46" s="11"/>
    </row>
    <row r="47" spans="1:19" x14ac:dyDescent="0.25">
      <c r="A47" s="25" t="s">
        <v>587</v>
      </c>
      <c r="B47" s="1" t="str">
        <f>VLOOKUP(E47,[1]Sheet1!$A:$G,3,FALSE)</f>
        <v>FANCY BETTA</v>
      </c>
      <c r="C47" s="1">
        <v>1397524</v>
      </c>
      <c r="D47" s="1" t="str">
        <f>VLOOKUP(E47,[1]Sheet1!$A:$G,5,FALSE)</f>
        <v>147-042015</v>
      </c>
      <c r="E47" s="1" t="s">
        <v>554</v>
      </c>
      <c r="F47" s="28" t="s">
        <v>700</v>
      </c>
      <c r="G47" s="1" t="s">
        <v>607</v>
      </c>
      <c r="H47" s="3"/>
      <c r="I47" s="11">
        <v>5</v>
      </c>
      <c r="J47" s="11" t="s">
        <v>688</v>
      </c>
      <c r="K47" s="27">
        <v>9.6153846153846159E-2</v>
      </c>
      <c r="L47" s="11">
        <v>25</v>
      </c>
      <c r="M47" s="11">
        <v>500</v>
      </c>
      <c r="N47" s="11">
        <v>500</v>
      </c>
      <c r="O47" s="11">
        <v>500</v>
      </c>
      <c r="P47" s="11">
        <v>500</v>
      </c>
      <c r="Q47" s="11"/>
      <c r="R47" s="11"/>
      <c r="S47" s="11"/>
    </row>
    <row r="48" spans="1:19" x14ac:dyDescent="0.25">
      <c r="A48" s="25" t="s">
        <v>587</v>
      </c>
      <c r="B48" s="1" t="str">
        <f>VLOOKUP(E48,[1]Sheet1!$A:$G,3,FALSE)</f>
        <v>FANCY BETTA</v>
      </c>
      <c r="C48" s="1">
        <v>1397532</v>
      </c>
      <c r="D48" s="1" t="str">
        <f>VLOOKUP(E48,[1]Sheet1!$A:$G,5,FALSE)</f>
        <v>147-04345</v>
      </c>
      <c r="E48" s="1" t="s">
        <v>574</v>
      </c>
      <c r="F48" s="28" t="s">
        <v>700</v>
      </c>
      <c r="G48" s="1" t="s">
        <v>607</v>
      </c>
      <c r="H48" s="3"/>
      <c r="I48" s="11">
        <v>16</v>
      </c>
      <c r="J48" s="11" t="s">
        <v>688</v>
      </c>
      <c r="K48" s="27">
        <v>0.30769230769230771</v>
      </c>
      <c r="L48" s="11">
        <v>25</v>
      </c>
      <c r="M48" s="11">
        <v>500</v>
      </c>
      <c r="N48" s="11">
        <v>500</v>
      </c>
      <c r="O48" s="11">
        <v>500</v>
      </c>
      <c r="P48" s="11">
        <v>500</v>
      </c>
      <c r="Q48" s="11"/>
      <c r="R48" s="11"/>
      <c r="S48" s="11"/>
    </row>
    <row r="49" spans="1:19" x14ac:dyDescent="0.25">
      <c r="A49" s="25" t="s">
        <v>587</v>
      </c>
      <c r="B49" s="1" t="str">
        <f>VLOOKUP(E49,[1]Sheet1!$A:$G,3,FALSE)</f>
        <v>FANCY BETTA</v>
      </c>
      <c r="C49" s="1">
        <v>1397575</v>
      </c>
      <c r="D49" s="1" t="str">
        <f>VLOOKUP(E49,[1]Sheet1!$A:$G,5,FALSE)</f>
        <v>147-04325</v>
      </c>
      <c r="E49" s="1" t="s">
        <v>558</v>
      </c>
      <c r="F49" s="28" t="s">
        <v>700</v>
      </c>
      <c r="G49" s="1" t="s">
        <v>641</v>
      </c>
      <c r="H49" s="3"/>
      <c r="I49" s="11">
        <v>4</v>
      </c>
      <c r="J49" s="11" t="s">
        <v>688</v>
      </c>
      <c r="K49" s="27">
        <v>7.6923076923076927E-2</v>
      </c>
      <c r="L49" s="11">
        <v>25</v>
      </c>
      <c r="M49" s="11">
        <v>500</v>
      </c>
      <c r="N49" s="11">
        <v>500</v>
      </c>
      <c r="O49" s="11">
        <v>500</v>
      </c>
      <c r="P49" s="11">
        <v>500</v>
      </c>
      <c r="Q49" s="11"/>
      <c r="R49" s="11"/>
      <c r="S49" s="11"/>
    </row>
    <row r="50" spans="1:19" x14ac:dyDescent="0.25">
      <c r="A50" s="25" t="s">
        <v>587</v>
      </c>
      <c r="B50" s="1" t="str">
        <f>VLOOKUP(E50,[1]Sheet1!$A:$G,3,FALSE)</f>
        <v>FANCY BETTA</v>
      </c>
      <c r="C50" s="1">
        <v>1397567</v>
      </c>
      <c r="D50" s="1" t="str">
        <f>VLOOKUP(E50,[1]Sheet1!$A:$G,5,FALSE)</f>
        <v>147-04335</v>
      </c>
      <c r="E50" s="2" t="s">
        <v>551</v>
      </c>
      <c r="F50" s="28" t="s">
        <v>700</v>
      </c>
      <c r="G50" s="1" t="s">
        <v>641</v>
      </c>
      <c r="H50" s="3"/>
      <c r="I50" s="11">
        <v>7</v>
      </c>
      <c r="J50" s="11" t="s">
        <v>688</v>
      </c>
      <c r="K50" s="27">
        <v>0.13461538461538461</v>
      </c>
      <c r="L50" s="11">
        <v>25</v>
      </c>
      <c r="M50" s="11">
        <v>500</v>
      </c>
      <c r="N50" s="11">
        <v>500</v>
      </c>
      <c r="O50" s="11">
        <v>500</v>
      </c>
      <c r="P50" s="11">
        <v>500</v>
      </c>
      <c r="Q50" s="11"/>
      <c r="R50" s="11"/>
      <c r="S50" s="11"/>
    </row>
    <row r="51" spans="1:19" x14ac:dyDescent="0.25">
      <c r="A51" s="25" t="s">
        <v>587</v>
      </c>
      <c r="B51" s="1" t="str">
        <f>VLOOKUP(E51,[1]Sheet1!$A:$G,3,FALSE)</f>
        <v>FANCY BETTA</v>
      </c>
      <c r="C51" s="1">
        <v>1397699</v>
      </c>
      <c r="D51" s="1" t="str">
        <f>VLOOKUP(E51,[1]Sheet1!$A:$G,5,FALSE)</f>
        <v>147-04805</v>
      </c>
      <c r="E51" s="1" t="s">
        <v>536</v>
      </c>
      <c r="F51" s="28" t="s">
        <v>700</v>
      </c>
      <c r="G51" s="1" t="s">
        <v>637</v>
      </c>
      <c r="H51" s="3"/>
      <c r="I51" s="11">
        <v>29</v>
      </c>
      <c r="J51" s="11" t="s">
        <v>688</v>
      </c>
      <c r="K51" s="27">
        <v>0.55769230769230771</v>
      </c>
      <c r="L51" s="11">
        <v>25</v>
      </c>
      <c r="M51" s="11">
        <v>500</v>
      </c>
      <c r="N51" s="11">
        <v>500</v>
      </c>
      <c r="O51" s="11">
        <v>500</v>
      </c>
      <c r="P51" s="11">
        <v>500</v>
      </c>
      <c r="Q51" s="11"/>
      <c r="R51" s="11"/>
      <c r="S51" s="11"/>
    </row>
    <row r="52" spans="1:19" x14ac:dyDescent="0.25">
      <c r="A52" s="25" t="s">
        <v>587</v>
      </c>
      <c r="B52" s="1" t="str">
        <f>VLOOKUP(E52,[1]Sheet1!$A:$G,3,FALSE)</f>
        <v>FANCY BETTA</v>
      </c>
      <c r="C52" s="1">
        <v>1397656</v>
      </c>
      <c r="D52" s="1" t="str">
        <f>VLOOKUP(E52,[1]Sheet1!$A:$G,5,FALSE)</f>
        <v>147-04705</v>
      </c>
      <c r="E52" s="1" t="s">
        <v>509</v>
      </c>
      <c r="F52" s="28" t="s">
        <v>700</v>
      </c>
      <c r="G52" s="1" t="s">
        <v>641</v>
      </c>
      <c r="H52" s="3"/>
      <c r="I52" s="11">
        <v>125</v>
      </c>
      <c r="J52" s="11" t="s">
        <v>688</v>
      </c>
      <c r="K52" s="27">
        <v>2.4038461538461537</v>
      </c>
      <c r="L52" s="11">
        <v>25</v>
      </c>
      <c r="M52" s="11">
        <v>500</v>
      </c>
      <c r="N52" s="11">
        <v>500</v>
      </c>
      <c r="O52" s="11">
        <v>500</v>
      </c>
      <c r="P52" s="11">
        <v>500</v>
      </c>
      <c r="Q52" s="11"/>
      <c r="R52" s="11"/>
      <c r="S52" s="11"/>
    </row>
    <row r="53" spans="1:19" x14ac:dyDescent="0.25">
      <c r="A53" s="25" t="s">
        <v>587</v>
      </c>
      <c r="B53" s="1" t="s">
        <v>501</v>
      </c>
      <c r="C53" s="1">
        <v>1032291</v>
      </c>
      <c r="D53" s="1" t="s">
        <v>579</v>
      </c>
      <c r="E53" s="1" t="s">
        <v>580</v>
      </c>
      <c r="F53" s="28" t="s">
        <v>705</v>
      </c>
      <c r="G53" s="1" t="s">
        <v>607</v>
      </c>
      <c r="H53" s="3"/>
      <c r="I53" s="11">
        <v>0</v>
      </c>
      <c r="J53" s="11" t="s">
        <v>688</v>
      </c>
      <c r="K53" s="11">
        <v>0</v>
      </c>
      <c r="L53" s="11">
        <v>25</v>
      </c>
      <c r="M53" s="11">
        <v>0</v>
      </c>
      <c r="N53" s="11">
        <v>0</v>
      </c>
      <c r="O53" s="11">
        <v>0</v>
      </c>
      <c r="P53" s="11">
        <v>0</v>
      </c>
      <c r="Q53" s="11"/>
      <c r="R53" s="11"/>
      <c r="S53" s="11"/>
    </row>
    <row r="54" spans="1:19" x14ac:dyDescent="0.25">
      <c r="A54" s="25" t="s">
        <v>587</v>
      </c>
      <c r="B54" s="1" t="s">
        <v>501</v>
      </c>
      <c r="C54" s="1">
        <v>1433997</v>
      </c>
      <c r="D54" s="1" t="s">
        <v>522</v>
      </c>
      <c r="E54" s="1" t="s">
        <v>523</v>
      </c>
      <c r="F54" s="28" t="s">
        <v>705</v>
      </c>
      <c r="G54" s="1" t="s">
        <v>612</v>
      </c>
      <c r="H54" s="3"/>
      <c r="I54" s="11">
        <v>76</v>
      </c>
      <c r="J54" s="11"/>
      <c r="K54" s="27">
        <v>1.4615384615384615</v>
      </c>
      <c r="L54" s="11">
        <v>25</v>
      </c>
      <c r="M54" s="11">
        <v>0</v>
      </c>
      <c r="N54" s="11">
        <v>0</v>
      </c>
      <c r="O54" s="11">
        <v>0</v>
      </c>
      <c r="P54" s="11">
        <v>0</v>
      </c>
      <c r="Q54" s="11"/>
      <c r="R54" s="11"/>
      <c r="S54" s="11"/>
    </row>
    <row r="55" spans="1:19" x14ac:dyDescent="0.25">
      <c r="A55" s="25" t="s">
        <v>587</v>
      </c>
      <c r="B55" s="1" t="s">
        <v>501</v>
      </c>
      <c r="C55" s="1">
        <v>1032119</v>
      </c>
      <c r="D55" s="1" t="s">
        <v>527</v>
      </c>
      <c r="E55" s="1" t="s">
        <v>528</v>
      </c>
      <c r="F55" s="28" t="s">
        <v>699</v>
      </c>
      <c r="G55" s="1" t="s">
        <v>605</v>
      </c>
      <c r="H55" s="3"/>
      <c r="I55" s="11">
        <v>100</v>
      </c>
      <c r="J55" s="11" t="s">
        <v>688</v>
      </c>
      <c r="K55" s="27">
        <v>1.9230769230769231</v>
      </c>
      <c r="L55" s="11">
        <v>25</v>
      </c>
      <c r="M55" s="11">
        <v>500</v>
      </c>
      <c r="N55" s="11">
        <v>500</v>
      </c>
      <c r="O55" s="11">
        <v>500</v>
      </c>
      <c r="P55" s="11">
        <v>500</v>
      </c>
      <c r="Q55" s="11"/>
      <c r="R55" s="11"/>
      <c r="S55" s="11"/>
    </row>
    <row r="56" spans="1:19" x14ac:dyDescent="0.25">
      <c r="A56" s="25" t="s">
        <v>587</v>
      </c>
      <c r="B56" s="1" t="str">
        <f>VLOOKUP(E56,[1]Sheet1!$A:$G,3,FALSE)</f>
        <v>GOURAMIS</v>
      </c>
      <c r="C56" s="1">
        <v>1031970</v>
      </c>
      <c r="D56" s="1" t="str">
        <f>VLOOKUP(E56,[1]Sheet1!$A:$G,5,FALSE)</f>
        <v>173-310110</v>
      </c>
      <c r="E56" s="1" t="s">
        <v>535</v>
      </c>
      <c r="F56" s="28" t="s">
        <v>713</v>
      </c>
      <c r="G56" s="1" t="s">
        <v>641</v>
      </c>
      <c r="H56" s="3"/>
      <c r="I56" s="11">
        <v>58</v>
      </c>
      <c r="J56" s="11" t="s">
        <v>688</v>
      </c>
      <c r="K56" s="27">
        <v>1.1153846153846154</v>
      </c>
      <c r="L56" s="11">
        <v>25</v>
      </c>
      <c r="M56" s="11">
        <v>25</v>
      </c>
      <c r="N56" s="11">
        <v>25</v>
      </c>
      <c r="O56" s="11">
        <v>20</v>
      </c>
      <c r="P56" s="11">
        <v>20</v>
      </c>
      <c r="Q56" s="11"/>
      <c r="R56" s="11"/>
      <c r="S56" s="11"/>
    </row>
    <row r="57" spans="1:19" x14ac:dyDescent="0.25">
      <c r="A57" s="25" t="s">
        <v>587</v>
      </c>
      <c r="B57" s="1" t="str">
        <f>VLOOKUP(E57,[1]Sheet1!$A:$G,3,FALSE)</f>
        <v>GOURAMIS</v>
      </c>
      <c r="C57" s="1">
        <v>1031953</v>
      </c>
      <c r="D57" s="1" t="str">
        <f>VLOOKUP(E57,[1]Sheet1!$A:$G,5,FALSE)</f>
        <v>173-31077</v>
      </c>
      <c r="E57" s="1" t="s">
        <v>530</v>
      </c>
      <c r="F57" s="28" t="s">
        <v>714</v>
      </c>
      <c r="G57" s="1" t="s">
        <v>605</v>
      </c>
      <c r="H57" s="3"/>
      <c r="I57" s="11">
        <v>115</v>
      </c>
      <c r="J57" s="11"/>
      <c r="K57" s="27">
        <v>2.2115384615384617</v>
      </c>
      <c r="L57" s="11">
        <v>25</v>
      </c>
      <c r="M57" s="11">
        <v>0</v>
      </c>
      <c r="N57" s="11">
        <v>0</v>
      </c>
      <c r="O57" s="11">
        <v>0</v>
      </c>
      <c r="P57" s="11">
        <v>0</v>
      </c>
      <c r="Q57" s="11"/>
      <c r="R57" s="11"/>
      <c r="S57" s="11"/>
    </row>
    <row r="58" spans="1:19" x14ac:dyDescent="0.25">
      <c r="A58" s="25" t="s">
        <v>587</v>
      </c>
      <c r="B58" s="1" t="str">
        <f>VLOOKUP(E58,[1]Sheet1!$A:$G,3,FALSE)</f>
        <v>GOURAMIS</v>
      </c>
      <c r="C58" s="1">
        <v>1433601</v>
      </c>
      <c r="D58" s="1" t="str">
        <f>VLOOKUP(E58,[1]Sheet1!$A:$G,5,FALSE)</f>
        <v>111-31045</v>
      </c>
      <c r="E58" s="1" t="s">
        <v>553</v>
      </c>
      <c r="F58" s="28" t="s">
        <v>715</v>
      </c>
      <c r="G58" s="1" t="s">
        <v>637</v>
      </c>
      <c r="H58" s="3"/>
      <c r="I58" s="11">
        <v>0</v>
      </c>
      <c r="J58" s="11"/>
      <c r="K58" s="11">
        <v>0</v>
      </c>
      <c r="L58" s="11">
        <v>25</v>
      </c>
      <c r="M58" s="11">
        <v>2</v>
      </c>
      <c r="N58" s="11">
        <v>2</v>
      </c>
      <c r="O58" s="11">
        <v>0</v>
      </c>
      <c r="P58" s="11">
        <v>0</v>
      </c>
      <c r="Q58" s="11"/>
      <c r="R58" s="11"/>
      <c r="S58" s="11"/>
    </row>
    <row r="59" spans="1:19" x14ac:dyDescent="0.25">
      <c r="A59" s="25" t="s">
        <v>587</v>
      </c>
      <c r="B59" s="1" t="str">
        <f>VLOOKUP(E59,[1]Sheet1!$A:$G,3,FALSE)</f>
        <v>GOURAMIS</v>
      </c>
      <c r="C59" s="1">
        <v>1433598</v>
      </c>
      <c r="D59" s="1" t="str">
        <f>VLOOKUP(E59,[1]Sheet1!$A:$G,5,FALSE)</f>
        <v>111-31043</v>
      </c>
      <c r="E59" s="1" t="s">
        <v>575</v>
      </c>
      <c r="F59" s="28" t="s">
        <v>715</v>
      </c>
      <c r="G59" s="1" t="s">
        <v>628</v>
      </c>
      <c r="H59" s="3"/>
      <c r="I59" s="11">
        <v>0</v>
      </c>
      <c r="J59" s="11"/>
      <c r="K59" s="11">
        <v>0</v>
      </c>
      <c r="L59" s="11">
        <v>25</v>
      </c>
      <c r="M59" s="11">
        <v>0</v>
      </c>
      <c r="N59" s="11">
        <v>0</v>
      </c>
      <c r="O59" s="11">
        <v>0</v>
      </c>
      <c r="P59" s="11">
        <v>0</v>
      </c>
      <c r="Q59" s="11"/>
      <c r="R59" s="11"/>
      <c r="S59" s="11"/>
    </row>
    <row r="60" spans="1:19" x14ac:dyDescent="0.25">
      <c r="A60" s="25" t="s">
        <v>587</v>
      </c>
      <c r="B60" s="1" t="s">
        <v>529</v>
      </c>
      <c r="C60" s="1">
        <v>1032259</v>
      </c>
      <c r="D60" s="1" t="s">
        <v>581</v>
      </c>
      <c r="E60" s="1" t="s">
        <v>582</v>
      </c>
      <c r="F60" s="28" t="s">
        <v>716</v>
      </c>
      <c r="G60" s="1" t="s">
        <v>612</v>
      </c>
      <c r="H60" s="3"/>
      <c r="I60" s="11">
        <v>0</v>
      </c>
      <c r="J60" s="11" t="s">
        <v>688</v>
      </c>
      <c r="K60" s="11">
        <v>0</v>
      </c>
      <c r="L60" s="11">
        <v>25</v>
      </c>
      <c r="M60" s="11">
        <v>5</v>
      </c>
      <c r="N60" s="11">
        <v>5</v>
      </c>
      <c r="O60" s="11">
        <v>3</v>
      </c>
      <c r="P60" s="11">
        <v>3</v>
      </c>
      <c r="Q60" s="11"/>
      <c r="R60" s="11"/>
      <c r="S60" s="11"/>
    </row>
    <row r="61" spans="1:19" x14ac:dyDescent="0.25">
      <c r="A61" s="25" t="s">
        <v>587</v>
      </c>
      <c r="B61" s="1" t="s">
        <v>494</v>
      </c>
      <c r="C61" s="1">
        <v>1136763</v>
      </c>
      <c r="D61" s="1" t="s">
        <v>555</v>
      </c>
      <c r="E61" s="1" t="s">
        <v>556</v>
      </c>
      <c r="F61" s="28" t="s">
        <v>717</v>
      </c>
      <c r="G61" s="1" t="s">
        <v>603</v>
      </c>
      <c r="H61" s="3"/>
      <c r="I61" s="11">
        <v>203</v>
      </c>
      <c r="J61" s="11"/>
      <c r="K61" s="27">
        <v>3.9038461538461537</v>
      </c>
      <c r="L61" s="11">
        <v>25</v>
      </c>
      <c r="M61" s="11">
        <v>0</v>
      </c>
      <c r="N61" s="11">
        <v>0</v>
      </c>
      <c r="O61" s="11">
        <v>0</v>
      </c>
      <c r="P61" s="11">
        <v>0</v>
      </c>
      <c r="Q61" s="11"/>
      <c r="R61" s="11"/>
      <c r="S61" s="11"/>
    </row>
    <row r="62" spans="1:19" x14ac:dyDescent="0.25">
      <c r="A62" s="25" t="s">
        <v>587</v>
      </c>
      <c r="B62" s="1" t="s">
        <v>494</v>
      </c>
      <c r="C62" s="1">
        <v>1433636</v>
      </c>
      <c r="D62" s="1" t="s">
        <v>547</v>
      </c>
      <c r="E62" s="1" t="s">
        <v>548</v>
      </c>
      <c r="F62" s="28" t="s">
        <v>704</v>
      </c>
      <c r="G62" s="1" t="s">
        <v>637</v>
      </c>
      <c r="H62" s="3"/>
      <c r="I62" s="11">
        <v>0</v>
      </c>
      <c r="J62" s="11" t="s">
        <v>688</v>
      </c>
      <c r="K62" s="11">
        <v>0</v>
      </c>
      <c r="L62" s="11">
        <v>25</v>
      </c>
      <c r="M62" s="11">
        <v>500</v>
      </c>
      <c r="N62" s="11">
        <v>500</v>
      </c>
      <c r="O62" s="11">
        <v>500</v>
      </c>
      <c r="P62" s="11">
        <v>500</v>
      </c>
      <c r="Q62" s="11"/>
      <c r="R62" s="11"/>
      <c r="S62" s="11"/>
    </row>
    <row r="63" spans="1:19" x14ac:dyDescent="0.25">
      <c r="A63" s="25" t="s">
        <v>587</v>
      </c>
      <c r="B63" s="1" t="s">
        <v>494</v>
      </c>
      <c r="C63" s="1">
        <v>1032283</v>
      </c>
      <c r="D63" s="1" t="s">
        <v>549</v>
      </c>
      <c r="E63" s="1" t="s">
        <v>550</v>
      </c>
      <c r="F63" s="28" t="s">
        <v>705</v>
      </c>
      <c r="G63" s="1" t="s">
        <v>605</v>
      </c>
      <c r="H63" s="3"/>
      <c r="I63" s="11">
        <v>75</v>
      </c>
      <c r="J63" s="11"/>
      <c r="K63" s="27">
        <v>1.4423076923076923</v>
      </c>
      <c r="L63" s="11">
        <v>25</v>
      </c>
      <c r="M63" s="11">
        <v>100</v>
      </c>
      <c r="N63" s="11">
        <v>100</v>
      </c>
      <c r="O63" s="11">
        <v>100</v>
      </c>
      <c r="P63" s="11">
        <v>100</v>
      </c>
      <c r="Q63" s="11"/>
      <c r="R63" s="11"/>
      <c r="S63" s="11"/>
    </row>
    <row r="64" spans="1:19" x14ac:dyDescent="0.25">
      <c r="A64" s="25" t="s">
        <v>587</v>
      </c>
      <c r="B64" s="1" t="str">
        <f>VLOOKUP(E64,[1]Sheet1!$A:$G,3,FALSE)</f>
        <v>GUPPIES</v>
      </c>
      <c r="C64" s="1">
        <v>1032089</v>
      </c>
      <c r="D64" s="1" t="str">
        <f>VLOOKUP(E64,[1]Sheet1!$A:$G,5,FALSE)</f>
        <v>111-36136</v>
      </c>
      <c r="E64" s="1" t="s">
        <v>506</v>
      </c>
      <c r="F64" s="28" t="s">
        <v>699</v>
      </c>
      <c r="G64" s="1" t="s">
        <v>605</v>
      </c>
      <c r="H64" s="3"/>
      <c r="I64" s="11">
        <v>312</v>
      </c>
      <c r="J64" s="11" t="s">
        <v>688</v>
      </c>
      <c r="K64" s="27">
        <v>6</v>
      </c>
      <c r="L64" s="11">
        <v>50</v>
      </c>
      <c r="M64" s="11">
        <v>500</v>
      </c>
      <c r="N64" s="11">
        <v>500</v>
      </c>
      <c r="O64" s="11">
        <v>500</v>
      </c>
      <c r="P64" s="11">
        <v>500</v>
      </c>
      <c r="Q64" s="11"/>
      <c r="R64" s="11"/>
      <c r="S64" s="11"/>
    </row>
    <row r="65" spans="1:19" x14ac:dyDescent="0.25">
      <c r="A65" s="25" t="s">
        <v>587</v>
      </c>
      <c r="B65" s="1" t="str">
        <f>VLOOKUP(E65,[1]Sheet1!$A:$G,3,FALSE)</f>
        <v>GUPPIES</v>
      </c>
      <c r="C65" s="21">
        <v>1032062</v>
      </c>
      <c r="D65" s="21" t="str">
        <f>VLOOKUP(E65,[1]Sheet1!$A:$G,5,FALSE)</f>
        <v>111-36025</v>
      </c>
      <c r="E65" s="21" t="s">
        <v>495</v>
      </c>
      <c r="F65" s="28" t="s">
        <v>699</v>
      </c>
      <c r="G65" s="1" t="s">
        <v>605</v>
      </c>
      <c r="H65" s="3"/>
      <c r="I65" s="11">
        <v>1210</v>
      </c>
      <c r="J65" s="11" t="s">
        <v>688</v>
      </c>
      <c r="K65" s="27">
        <v>23.26923076923077</v>
      </c>
      <c r="L65" s="11">
        <v>50</v>
      </c>
      <c r="M65" s="11">
        <v>500</v>
      </c>
      <c r="N65" s="11">
        <v>500</v>
      </c>
      <c r="O65" s="11">
        <v>500</v>
      </c>
      <c r="P65" s="11">
        <v>500</v>
      </c>
      <c r="Q65" s="11"/>
      <c r="R65" s="11"/>
      <c r="S65" s="11"/>
    </row>
    <row r="66" spans="1:19" x14ac:dyDescent="0.25">
      <c r="A66" s="25" t="s">
        <v>587</v>
      </c>
      <c r="B66" s="1" t="str">
        <f>VLOOKUP(E66,[1]Sheet1!$A:$G,3,FALSE)</f>
        <v>GUPPIES</v>
      </c>
      <c r="C66" s="1">
        <v>1433610</v>
      </c>
      <c r="D66" s="1" t="str">
        <f>VLOOKUP(E66,[1]Sheet1!$A:$G,5,FALSE)</f>
        <v>111-36316</v>
      </c>
      <c r="E66" s="1" t="s">
        <v>518</v>
      </c>
      <c r="F66" s="28" t="s">
        <v>699</v>
      </c>
      <c r="G66" s="1" t="s">
        <v>605</v>
      </c>
      <c r="H66" s="3"/>
      <c r="I66" s="11">
        <v>84</v>
      </c>
      <c r="J66" s="1" t="s">
        <v>688</v>
      </c>
      <c r="K66" s="27">
        <v>1.6153846153846154</v>
      </c>
      <c r="L66" s="11">
        <v>50</v>
      </c>
      <c r="M66" s="11">
        <v>500</v>
      </c>
      <c r="N66" s="11">
        <v>500</v>
      </c>
      <c r="O66" s="11">
        <v>500</v>
      </c>
      <c r="P66" s="11">
        <v>500</v>
      </c>
      <c r="Q66" s="11"/>
      <c r="R66" s="11"/>
      <c r="S66" s="11"/>
    </row>
    <row r="67" spans="1:19" x14ac:dyDescent="0.25">
      <c r="A67" s="25" t="s">
        <v>587</v>
      </c>
      <c r="B67" s="1" t="str">
        <f>VLOOKUP(E67,[1]Sheet1!$A:$G,3,FALSE)</f>
        <v>GUPPIES</v>
      </c>
      <c r="C67" s="21">
        <v>1032070</v>
      </c>
      <c r="D67" s="21" t="str">
        <f>VLOOKUP(E67,[1]Sheet1!$A:$G,5,FALSE)</f>
        <v>111-36015</v>
      </c>
      <c r="E67" s="21" t="s">
        <v>499</v>
      </c>
      <c r="F67" s="28" t="s">
        <v>699</v>
      </c>
      <c r="G67" s="1" t="s">
        <v>605</v>
      </c>
      <c r="H67" s="3"/>
      <c r="I67" s="11">
        <v>514</v>
      </c>
      <c r="J67" s="11" t="s">
        <v>688</v>
      </c>
      <c r="K67" s="27">
        <v>9.884615384615385</v>
      </c>
      <c r="L67" s="11">
        <v>50</v>
      </c>
      <c r="M67" s="11">
        <v>500</v>
      </c>
      <c r="N67" s="11">
        <v>500</v>
      </c>
      <c r="O67" s="11">
        <v>500</v>
      </c>
      <c r="P67" s="11">
        <v>500</v>
      </c>
      <c r="Q67" s="11"/>
      <c r="R67" s="11"/>
      <c r="S67" s="11"/>
    </row>
    <row r="68" spans="1:19" x14ac:dyDescent="0.25">
      <c r="A68" s="25" t="s">
        <v>587</v>
      </c>
      <c r="B68" s="1" t="str">
        <f>VLOOKUP(E68,[1]Sheet1!$A:$G,3,FALSE)</f>
        <v>GUPPIES</v>
      </c>
      <c r="C68" s="1">
        <v>1032097</v>
      </c>
      <c r="D68" s="1" t="str">
        <f>VLOOKUP(E68,[1]Sheet1!$A:$G,5,FALSE)</f>
        <v>111-36066</v>
      </c>
      <c r="E68" s="1" t="s">
        <v>521</v>
      </c>
      <c r="F68" s="28" t="s">
        <v>699</v>
      </c>
      <c r="G68" s="1" t="s">
        <v>605</v>
      </c>
      <c r="H68" s="3"/>
      <c r="I68" s="11">
        <v>81</v>
      </c>
      <c r="J68" s="11" t="s">
        <v>688</v>
      </c>
      <c r="K68" s="27">
        <v>1.5576923076923077</v>
      </c>
      <c r="L68" s="11">
        <v>50</v>
      </c>
      <c r="M68" s="11">
        <v>500</v>
      </c>
      <c r="N68" s="11">
        <v>500</v>
      </c>
      <c r="O68" s="11">
        <v>500</v>
      </c>
      <c r="P68" s="11">
        <v>500</v>
      </c>
      <c r="Q68" s="11"/>
      <c r="R68" s="11"/>
      <c r="S68" s="11"/>
    </row>
    <row r="69" spans="1:19" x14ac:dyDescent="0.25">
      <c r="A69" s="25" t="s">
        <v>587</v>
      </c>
      <c r="B69" s="1" t="str">
        <f>VLOOKUP(E69,[1]Sheet1!$A:$G,3,FALSE)</f>
        <v>PLECOS &amp; ALGAE EATERS</v>
      </c>
      <c r="C69" s="1">
        <v>1032216</v>
      </c>
      <c r="D69" s="1" t="str">
        <f>VLOOKUP(E69,[1]Sheet1!$A:$G,5,FALSE)</f>
        <v>171-510614</v>
      </c>
      <c r="E69" s="1" t="s">
        <v>564</v>
      </c>
      <c r="F69" s="28" t="s">
        <v>697</v>
      </c>
      <c r="G69" s="1" t="s">
        <v>841</v>
      </c>
      <c r="H69" s="3"/>
      <c r="I69" s="11">
        <v>89</v>
      </c>
      <c r="J69" s="11" t="s">
        <v>688</v>
      </c>
      <c r="K69" s="27">
        <v>1.7115384615384615</v>
      </c>
      <c r="L69" s="11">
        <v>25</v>
      </c>
      <c r="M69" s="11">
        <v>0</v>
      </c>
      <c r="N69" s="11">
        <v>0</v>
      </c>
      <c r="O69" s="11">
        <v>0</v>
      </c>
      <c r="P69" s="11">
        <v>0</v>
      </c>
      <c r="Q69" s="11"/>
      <c r="R69" s="11"/>
      <c r="S69" s="11"/>
    </row>
    <row r="70" spans="1:19" x14ac:dyDescent="0.25">
      <c r="A70" s="25" t="s">
        <v>587</v>
      </c>
      <c r="B70" s="1" t="s">
        <v>515</v>
      </c>
      <c r="C70" s="21">
        <v>1032100</v>
      </c>
      <c r="D70" s="1" t="s">
        <v>510</v>
      </c>
      <c r="E70" s="1" t="s">
        <v>511</v>
      </c>
      <c r="F70" s="28" t="s">
        <v>699</v>
      </c>
      <c r="G70" s="1" t="s">
        <v>605</v>
      </c>
      <c r="H70" s="3"/>
      <c r="I70" s="11">
        <v>0</v>
      </c>
      <c r="J70" s="11"/>
      <c r="K70" s="11">
        <v>0</v>
      </c>
      <c r="L70" s="11">
        <v>50</v>
      </c>
      <c r="M70" s="11">
        <v>500</v>
      </c>
      <c r="N70" s="11">
        <v>500</v>
      </c>
      <c r="O70" s="11">
        <v>500</v>
      </c>
      <c r="P70" s="11">
        <v>500</v>
      </c>
      <c r="Q70" s="11"/>
      <c r="R70" s="11"/>
      <c r="S70" s="11"/>
    </row>
    <row r="71" spans="1:19" x14ac:dyDescent="0.25">
      <c r="A71" s="25" t="s">
        <v>587</v>
      </c>
      <c r="B71" s="1" t="s">
        <v>503</v>
      </c>
      <c r="C71" s="1">
        <v>1031694</v>
      </c>
      <c r="D71" s="1" t="s">
        <v>569</v>
      </c>
      <c r="E71" s="1" t="s">
        <v>570</v>
      </c>
      <c r="F71" s="28" t="s">
        <v>702</v>
      </c>
      <c r="G71" s="1" t="s">
        <v>642</v>
      </c>
      <c r="H71" s="3"/>
      <c r="I71" s="11">
        <v>0</v>
      </c>
      <c r="J71" s="11" t="s">
        <v>688</v>
      </c>
      <c r="K71" s="11">
        <v>0</v>
      </c>
      <c r="L71" s="11">
        <v>25</v>
      </c>
      <c r="M71" s="11">
        <v>25</v>
      </c>
      <c r="N71" s="11">
        <v>25</v>
      </c>
      <c r="O71" s="11">
        <v>25</v>
      </c>
      <c r="P71" s="11">
        <v>25</v>
      </c>
      <c r="Q71" s="11"/>
      <c r="R71" s="11"/>
      <c r="S71" s="11"/>
    </row>
    <row r="72" spans="1:19" x14ac:dyDescent="0.25">
      <c r="A72" s="25" t="s">
        <v>587</v>
      </c>
      <c r="B72" s="1" t="str">
        <f>VLOOKUP(E72,[1]Sheet1!$A:$G,3,FALSE)</f>
        <v>TETRAS</v>
      </c>
      <c r="C72" s="21">
        <v>1032321</v>
      </c>
      <c r="D72" s="21" t="str">
        <f>VLOOKUP(E72,[1]Sheet1!$A:$G,5,FALSE)</f>
        <v>181-71016</v>
      </c>
      <c r="E72" s="21" t="s">
        <v>504</v>
      </c>
      <c r="F72" s="28" t="s">
        <v>698</v>
      </c>
      <c r="G72" s="1" t="s">
        <v>642</v>
      </c>
      <c r="H72" s="3"/>
      <c r="I72" s="11">
        <v>935</v>
      </c>
      <c r="J72" s="11" t="s">
        <v>688</v>
      </c>
      <c r="K72" s="27">
        <v>17.98076923076923</v>
      </c>
      <c r="L72" s="11">
        <v>50</v>
      </c>
      <c r="M72" s="11">
        <v>0</v>
      </c>
      <c r="N72" s="11">
        <v>0</v>
      </c>
      <c r="O72" s="11">
        <v>0</v>
      </c>
      <c r="P72" s="11">
        <v>0</v>
      </c>
      <c r="Q72" s="11"/>
      <c r="R72" s="11"/>
      <c r="S72" s="11"/>
    </row>
    <row r="73" spans="1:19" x14ac:dyDescent="0.25">
      <c r="A73" s="24" t="s">
        <v>493</v>
      </c>
      <c r="B73" s="1" t="s">
        <v>484</v>
      </c>
      <c r="C73" s="1">
        <v>2379747</v>
      </c>
      <c r="D73" s="1" t="s">
        <v>485</v>
      </c>
      <c r="E73" s="1" t="s">
        <v>486</v>
      </c>
      <c r="F73" s="28" t="s">
        <v>718</v>
      </c>
      <c r="G73" s="18" t="s">
        <v>635</v>
      </c>
      <c r="H73" s="3"/>
      <c r="I73" s="11">
        <v>219</v>
      </c>
      <c r="J73" s="11" t="s">
        <v>688</v>
      </c>
      <c r="K73" s="27">
        <v>4.2115384615384617</v>
      </c>
      <c r="L73" s="11">
        <v>50</v>
      </c>
      <c r="M73" s="11">
        <v>500</v>
      </c>
      <c r="N73" s="11">
        <v>500</v>
      </c>
      <c r="O73" s="11">
        <v>500</v>
      </c>
      <c r="P73" s="11">
        <v>500</v>
      </c>
      <c r="Q73" s="11"/>
      <c r="R73" s="11"/>
      <c r="S73" s="11"/>
    </row>
    <row r="74" spans="1:19" x14ac:dyDescent="0.25">
      <c r="A74" s="24" t="s">
        <v>493</v>
      </c>
      <c r="B74" s="1" t="s">
        <v>484</v>
      </c>
      <c r="C74" s="21">
        <v>2379755</v>
      </c>
      <c r="D74" s="21" t="s">
        <v>487</v>
      </c>
      <c r="E74" s="21" t="s">
        <v>488</v>
      </c>
      <c r="F74" s="28" t="s">
        <v>719</v>
      </c>
      <c r="G74" s="1" t="s">
        <v>657</v>
      </c>
      <c r="H74" s="3"/>
      <c r="I74" s="11">
        <v>357</v>
      </c>
      <c r="J74" s="11"/>
      <c r="K74" s="27">
        <v>6.865384615384615</v>
      </c>
      <c r="L74" s="11">
        <v>50</v>
      </c>
      <c r="M74" s="11">
        <v>60</v>
      </c>
      <c r="N74" s="11">
        <v>60</v>
      </c>
      <c r="O74" s="11">
        <v>60</v>
      </c>
      <c r="P74" s="11">
        <v>60</v>
      </c>
      <c r="Q74" s="11"/>
      <c r="R74" s="11"/>
      <c r="S74" s="11"/>
    </row>
    <row r="75" spans="1:19" x14ac:dyDescent="0.25">
      <c r="A75" s="24" t="s">
        <v>493</v>
      </c>
      <c r="B75" s="1" t="s">
        <v>484</v>
      </c>
      <c r="C75" s="1">
        <v>2379763</v>
      </c>
      <c r="D75" s="1" t="s">
        <v>489</v>
      </c>
      <c r="E75" s="1" t="s">
        <v>490</v>
      </c>
      <c r="F75" s="28" t="s">
        <v>719</v>
      </c>
      <c r="G75" s="1" t="s">
        <v>657</v>
      </c>
      <c r="H75" s="3"/>
      <c r="I75" s="11">
        <v>195</v>
      </c>
      <c r="J75" s="11"/>
      <c r="K75" s="27">
        <v>3.75</v>
      </c>
      <c r="L75" s="11">
        <v>50</v>
      </c>
      <c r="M75" s="11">
        <v>80</v>
      </c>
      <c r="N75" s="11">
        <v>80</v>
      </c>
      <c r="O75" s="11">
        <v>20</v>
      </c>
      <c r="P75" s="11">
        <v>20</v>
      </c>
      <c r="Q75" s="11"/>
      <c r="R75" s="11"/>
      <c r="S75" s="11"/>
    </row>
    <row r="76" spans="1:19" x14ac:dyDescent="0.25">
      <c r="A76" s="24" t="s">
        <v>493</v>
      </c>
      <c r="B76" s="1" t="s">
        <v>484</v>
      </c>
      <c r="C76" s="1">
        <v>2379771</v>
      </c>
      <c r="D76" s="1" t="s">
        <v>491</v>
      </c>
      <c r="E76" s="1" t="s">
        <v>492</v>
      </c>
      <c r="F76" s="28" t="s">
        <v>720</v>
      </c>
      <c r="G76" s="1" t="s">
        <v>657</v>
      </c>
      <c r="H76" s="3"/>
      <c r="I76" s="11">
        <v>38</v>
      </c>
      <c r="J76" s="11"/>
      <c r="K76" s="27">
        <v>0.73076923076923073</v>
      </c>
      <c r="L76" s="11">
        <v>50</v>
      </c>
      <c r="M76" s="11">
        <v>40</v>
      </c>
      <c r="N76" s="11">
        <v>40</v>
      </c>
      <c r="O76" s="11">
        <v>25</v>
      </c>
      <c r="P76" s="11">
        <v>25</v>
      </c>
      <c r="Q76" s="11"/>
      <c r="R76" s="11"/>
      <c r="S76" s="11"/>
    </row>
    <row r="77" spans="1:19" x14ac:dyDescent="0.25">
      <c r="A77" s="21" t="s">
        <v>366</v>
      </c>
      <c r="B77" s="1" t="s">
        <v>41</v>
      </c>
      <c r="C77" s="1">
        <v>1137158</v>
      </c>
      <c r="D77" s="1" t="s">
        <v>42</v>
      </c>
      <c r="E77" s="1" t="s">
        <v>43</v>
      </c>
      <c r="F77" s="28" t="s">
        <v>739</v>
      </c>
      <c r="G77" s="1" t="s">
        <v>602</v>
      </c>
      <c r="H77" s="1"/>
      <c r="I77" s="11">
        <v>18</v>
      </c>
      <c r="J77" s="11" t="s">
        <v>688</v>
      </c>
      <c r="K77" s="27">
        <v>0.34615384615384615</v>
      </c>
      <c r="L77" s="1">
        <v>3</v>
      </c>
      <c r="M77" s="1">
        <v>0</v>
      </c>
      <c r="N77" s="1">
        <v>0</v>
      </c>
      <c r="O77" s="1">
        <v>0</v>
      </c>
      <c r="P77" s="1">
        <v>0</v>
      </c>
      <c r="Q77" s="1"/>
      <c r="R77" s="1"/>
      <c r="S77" s="1"/>
    </row>
    <row r="78" spans="1:19" x14ac:dyDescent="0.25">
      <c r="A78" s="21" t="s">
        <v>366</v>
      </c>
      <c r="B78" s="1" t="s">
        <v>41</v>
      </c>
      <c r="C78" s="1">
        <v>1054589</v>
      </c>
      <c r="D78" s="1" t="s">
        <v>59</v>
      </c>
      <c r="E78" s="1" t="s">
        <v>60</v>
      </c>
      <c r="F78" s="28" t="s">
        <v>759</v>
      </c>
      <c r="G78" s="1" t="s">
        <v>604</v>
      </c>
      <c r="H78" s="1"/>
      <c r="I78" s="11">
        <v>78</v>
      </c>
      <c r="J78" s="11" t="s">
        <v>688</v>
      </c>
      <c r="K78" s="27">
        <v>1.5</v>
      </c>
      <c r="L78" s="1">
        <v>5</v>
      </c>
      <c r="M78" s="1">
        <v>0</v>
      </c>
      <c r="N78" s="1">
        <v>0</v>
      </c>
      <c r="O78" s="1">
        <v>0</v>
      </c>
      <c r="P78" s="1">
        <v>0</v>
      </c>
      <c r="Q78" s="1"/>
      <c r="R78" s="1"/>
      <c r="S78" s="1"/>
    </row>
    <row r="79" spans="1:19" x14ac:dyDescent="0.25">
      <c r="A79" s="21" t="s">
        <v>366</v>
      </c>
      <c r="B79" s="1" t="s">
        <v>41</v>
      </c>
      <c r="C79" s="1">
        <v>1137077</v>
      </c>
      <c r="D79" s="1" t="s">
        <v>61</v>
      </c>
      <c r="E79" s="1" t="s">
        <v>62</v>
      </c>
      <c r="F79" s="28" t="s">
        <v>770</v>
      </c>
      <c r="G79" s="1" t="s">
        <v>602</v>
      </c>
      <c r="H79" s="1"/>
      <c r="I79" s="11">
        <v>72</v>
      </c>
      <c r="J79" s="11" t="s">
        <v>688</v>
      </c>
      <c r="K79" s="27">
        <v>1.3846153846153846</v>
      </c>
      <c r="L79" s="1">
        <v>5</v>
      </c>
      <c r="M79" s="1">
        <v>0</v>
      </c>
      <c r="N79" s="1">
        <v>0</v>
      </c>
      <c r="O79" s="1">
        <v>0</v>
      </c>
      <c r="P79" s="1">
        <v>0</v>
      </c>
      <c r="Q79" s="1"/>
      <c r="R79" s="1"/>
      <c r="S79" s="1"/>
    </row>
    <row r="80" spans="1:19" x14ac:dyDescent="0.25">
      <c r="A80" s="21" t="s">
        <v>366</v>
      </c>
      <c r="B80" s="1" t="s">
        <v>41</v>
      </c>
      <c r="C80" s="1">
        <v>1053256</v>
      </c>
      <c r="D80" s="1" t="s">
        <v>136</v>
      </c>
      <c r="E80" s="1" t="s">
        <v>137</v>
      </c>
      <c r="F80" s="28" t="s">
        <v>764</v>
      </c>
      <c r="G80" s="1" t="s">
        <v>612</v>
      </c>
      <c r="H80" s="1"/>
      <c r="I80" s="11">
        <v>106</v>
      </c>
      <c r="J80" s="11" t="s">
        <v>688</v>
      </c>
      <c r="K80" s="27">
        <v>2.0384615384615383</v>
      </c>
      <c r="L80" s="1">
        <v>5</v>
      </c>
      <c r="M80" s="1">
        <v>0</v>
      </c>
      <c r="N80" s="1">
        <v>0</v>
      </c>
      <c r="O80" s="1">
        <v>0</v>
      </c>
      <c r="P80" s="1">
        <v>0</v>
      </c>
      <c r="Q80" s="1"/>
      <c r="R80" s="1"/>
      <c r="S80" s="1"/>
    </row>
    <row r="81" spans="1:19" x14ac:dyDescent="0.25">
      <c r="A81" s="21" t="s">
        <v>366</v>
      </c>
      <c r="B81" s="1" t="s">
        <v>41</v>
      </c>
      <c r="C81" s="1">
        <v>1033077</v>
      </c>
      <c r="D81" s="1" t="s">
        <v>154</v>
      </c>
      <c r="E81" s="1" t="s">
        <v>155</v>
      </c>
      <c r="F81" s="28" t="s">
        <v>726</v>
      </c>
      <c r="G81" s="1" t="s">
        <v>619</v>
      </c>
      <c r="H81" s="1"/>
      <c r="I81" s="11">
        <v>39</v>
      </c>
      <c r="J81" s="11" t="s">
        <v>688</v>
      </c>
      <c r="K81" s="27">
        <v>0.75</v>
      </c>
      <c r="L81" s="1">
        <v>5</v>
      </c>
      <c r="M81" s="1">
        <v>0</v>
      </c>
      <c r="N81" s="1">
        <v>0</v>
      </c>
      <c r="O81" s="1">
        <v>0</v>
      </c>
      <c r="P81" s="1">
        <v>0</v>
      </c>
      <c r="Q81" s="1"/>
      <c r="R81" s="1"/>
      <c r="S81" s="1"/>
    </row>
    <row r="82" spans="1:19" x14ac:dyDescent="0.25">
      <c r="A82" s="21" t="s">
        <v>366</v>
      </c>
      <c r="B82" s="1" t="s">
        <v>41</v>
      </c>
      <c r="C82" s="21">
        <v>1033069</v>
      </c>
      <c r="D82" s="21" t="s">
        <v>164</v>
      </c>
      <c r="E82" s="21" t="s">
        <v>165</v>
      </c>
      <c r="F82" s="28" t="s">
        <v>726</v>
      </c>
      <c r="G82" s="1" t="s">
        <v>620</v>
      </c>
      <c r="H82" s="1"/>
      <c r="I82" s="11">
        <v>150</v>
      </c>
      <c r="J82" s="11" t="s">
        <v>688</v>
      </c>
      <c r="K82" s="27">
        <v>2.8846153846153846</v>
      </c>
      <c r="L82" s="1">
        <v>5</v>
      </c>
      <c r="M82" s="1">
        <v>4</v>
      </c>
      <c r="N82" s="1">
        <v>4</v>
      </c>
      <c r="O82" s="1">
        <v>4</v>
      </c>
      <c r="P82" s="1">
        <v>4</v>
      </c>
      <c r="Q82" s="1"/>
      <c r="R82" s="1"/>
      <c r="S82" s="1"/>
    </row>
    <row r="83" spans="1:19" x14ac:dyDescent="0.25">
      <c r="A83" s="21" t="s">
        <v>366</v>
      </c>
      <c r="B83" s="1" t="s">
        <v>41</v>
      </c>
      <c r="C83" s="1">
        <v>1033050</v>
      </c>
      <c r="D83" s="1" t="s">
        <v>174</v>
      </c>
      <c r="E83" s="1" t="s">
        <v>175</v>
      </c>
      <c r="F83" s="28" t="s">
        <v>726</v>
      </c>
      <c r="G83" s="1" t="s">
        <v>607</v>
      </c>
      <c r="H83" s="1"/>
      <c r="I83" s="11">
        <v>5</v>
      </c>
      <c r="J83" s="11" t="s">
        <v>688</v>
      </c>
      <c r="K83" s="27">
        <v>9.6153846153846159E-2</v>
      </c>
      <c r="L83" s="1">
        <v>5</v>
      </c>
      <c r="M83" s="1">
        <v>2</v>
      </c>
      <c r="N83" s="1">
        <v>2</v>
      </c>
      <c r="O83" s="1">
        <v>1</v>
      </c>
      <c r="P83" s="1">
        <v>1</v>
      </c>
      <c r="Q83" s="1"/>
      <c r="R83" s="1"/>
      <c r="S83" s="1"/>
    </row>
    <row r="84" spans="1:19" x14ac:dyDescent="0.25">
      <c r="A84" s="21" t="s">
        <v>366</v>
      </c>
      <c r="B84" s="1" t="s">
        <v>41</v>
      </c>
      <c r="C84" s="1">
        <v>1033042</v>
      </c>
      <c r="D84" s="1" t="s">
        <v>186</v>
      </c>
      <c r="E84" s="1" t="s">
        <v>187</v>
      </c>
      <c r="F84" s="28" t="s">
        <v>726</v>
      </c>
      <c r="G84" s="1" t="s">
        <v>621</v>
      </c>
      <c r="H84" s="1"/>
      <c r="I84" s="11">
        <v>62</v>
      </c>
      <c r="J84" s="11" t="s">
        <v>688</v>
      </c>
      <c r="K84" s="27">
        <v>1.1923076923076923</v>
      </c>
      <c r="L84" s="1">
        <v>5</v>
      </c>
      <c r="M84" s="1">
        <v>0</v>
      </c>
      <c r="N84" s="1">
        <v>0</v>
      </c>
      <c r="O84" s="1">
        <v>0</v>
      </c>
      <c r="P84" s="1">
        <v>0</v>
      </c>
      <c r="Q84" s="1"/>
      <c r="R84" s="1"/>
      <c r="S84" s="1"/>
    </row>
    <row r="85" spans="1:19" x14ac:dyDescent="0.25">
      <c r="A85" s="21" t="s">
        <v>366</v>
      </c>
      <c r="B85" s="1" t="s">
        <v>41</v>
      </c>
      <c r="C85" s="1">
        <v>1033034</v>
      </c>
      <c r="D85" s="1" t="s">
        <v>188</v>
      </c>
      <c r="E85" s="1" t="s">
        <v>189</v>
      </c>
      <c r="F85" s="28" t="s">
        <v>726</v>
      </c>
      <c r="G85" s="1" t="s">
        <v>622</v>
      </c>
      <c r="H85" s="1"/>
      <c r="I85" s="11">
        <v>42</v>
      </c>
      <c r="J85" s="11" t="s">
        <v>688</v>
      </c>
      <c r="K85" s="27">
        <v>0.80769230769230771</v>
      </c>
      <c r="L85" s="1">
        <v>5</v>
      </c>
      <c r="M85" s="1">
        <v>0</v>
      </c>
      <c r="N85" s="1">
        <v>0</v>
      </c>
      <c r="O85" s="1">
        <v>0</v>
      </c>
      <c r="P85" s="1">
        <v>2</v>
      </c>
      <c r="Q85" s="1"/>
      <c r="R85" s="1"/>
      <c r="S85" s="1"/>
    </row>
    <row r="86" spans="1:19" x14ac:dyDescent="0.25">
      <c r="A86" s="21" t="s">
        <v>366</v>
      </c>
      <c r="B86" s="1" t="s">
        <v>41</v>
      </c>
      <c r="C86" s="1">
        <v>1033026</v>
      </c>
      <c r="D86" s="1" t="s">
        <v>202</v>
      </c>
      <c r="E86" s="1" t="s">
        <v>203</v>
      </c>
      <c r="F86" s="28" t="s">
        <v>726</v>
      </c>
      <c r="G86" s="1" t="s">
        <v>611</v>
      </c>
      <c r="H86" s="1"/>
      <c r="I86" s="11">
        <v>112</v>
      </c>
      <c r="J86" s="11" t="s">
        <v>688</v>
      </c>
      <c r="K86" s="27">
        <v>2.1538461538461537</v>
      </c>
      <c r="L86" s="1">
        <v>5</v>
      </c>
      <c r="M86" s="1">
        <v>0</v>
      </c>
      <c r="N86" s="1">
        <v>0</v>
      </c>
      <c r="O86" s="1">
        <v>0</v>
      </c>
      <c r="P86" s="1">
        <v>4</v>
      </c>
      <c r="Q86" s="1"/>
      <c r="R86" s="1"/>
      <c r="S86" s="1"/>
    </row>
    <row r="87" spans="1:19" x14ac:dyDescent="0.25">
      <c r="A87" s="21" t="s">
        <v>366</v>
      </c>
      <c r="B87" s="1" t="s">
        <v>41</v>
      </c>
      <c r="C87" s="1">
        <v>1306871</v>
      </c>
      <c r="D87" s="1">
        <v>2110165</v>
      </c>
      <c r="E87" s="1" t="s">
        <v>208</v>
      </c>
      <c r="F87" s="28" t="s">
        <v>741</v>
      </c>
      <c r="G87" s="1" t="s">
        <v>617</v>
      </c>
      <c r="H87" s="1" t="s">
        <v>209</v>
      </c>
      <c r="I87" s="11">
        <v>9</v>
      </c>
      <c r="J87" s="11" t="s">
        <v>688</v>
      </c>
      <c r="K87" s="27">
        <v>0.17307692307692307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/>
      <c r="R87" s="1"/>
      <c r="S87" s="1"/>
    </row>
    <row r="88" spans="1:19" x14ac:dyDescent="0.25">
      <c r="A88" s="21" t="s">
        <v>366</v>
      </c>
      <c r="B88" s="1" t="s">
        <v>41</v>
      </c>
      <c r="C88" s="1">
        <v>1306863</v>
      </c>
      <c r="D88" s="1" t="s">
        <v>226</v>
      </c>
      <c r="E88" s="1" t="s">
        <v>227</v>
      </c>
      <c r="F88" s="28" t="s">
        <v>741</v>
      </c>
      <c r="G88" s="1" t="s">
        <v>620</v>
      </c>
      <c r="H88" s="1" t="s">
        <v>209</v>
      </c>
      <c r="I88" s="11">
        <v>10</v>
      </c>
      <c r="J88" s="11" t="s">
        <v>688</v>
      </c>
      <c r="K88" s="27">
        <v>0.19230769230769232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/>
      <c r="R88" s="1"/>
      <c r="S88" s="1"/>
    </row>
    <row r="89" spans="1:19" x14ac:dyDescent="0.25">
      <c r="A89" s="21" t="s">
        <v>366</v>
      </c>
      <c r="B89" s="1" t="s">
        <v>41</v>
      </c>
      <c r="C89" s="21">
        <v>1306855</v>
      </c>
      <c r="D89" s="21" t="s">
        <v>230</v>
      </c>
      <c r="E89" s="21" t="s">
        <v>231</v>
      </c>
      <c r="F89" s="28" t="s">
        <v>741</v>
      </c>
      <c r="G89" s="1" t="s">
        <v>607</v>
      </c>
      <c r="H89" s="1" t="s">
        <v>209</v>
      </c>
      <c r="I89" s="11">
        <v>60</v>
      </c>
      <c r="J89" s="11" t="s">
        <v>688</v>
      </c>
      <c r="K89" s="27">
        <v>1.1538461538461537</v>
      </c>
      <c r="L89" s="1">
        <v>5</v>
      </c>
      <c r="M89" s="1">
        <v>0</v>
      </c>
      <c r="N89" s="1">
        <v>0</v>
      </c>
      <c r="O89" s="1">
        <v>0</v>
      </c>
      <c r="P89" s="1">
        <v>0</v>
      </c>
      <c r="Q89" s="1"/>
      <c r="R89" s="1"/>
      <c r="S89" s="1"/>
    </row>
    <row r="90" spans="1:19" x14ac:dyDescent="0.25">
      <c r="A90" s="21" t="s">
        <v>366</v>
      </c>
      <c r="B90" s="1" t="s">
        <v>41</v>
      </c>
      <c r="C90" s="1">
        <v>1053191</v>
      </c>
      <c r="D90" s="1" t="s">
        <v>240</v>
      </c>
      <c r="E90" s="1" t="s">
        <v>241</v>
      </c>
      <c r="F90" s="28" t="s">
        <v>763</v>
      </c>
      <c r="G90" s="1" t="s">
        <v>612</v>
      </c>
      <c r="H90" s="1"/>
      <c r="I90" s="11">
        <v>100</v>
      </c>
      <c r="J90" s="11" t="s">
        <v>688</v>
      </c>
      <c r="K90" s="27">
        <v>1.9230769230769231</v>
      </c>
      <c r="L90" s="1">
        <v>5</v>
      </c>
      <c r="M90" s="1">
        <v>0</v>
      </c>
      <c r="N90" s="1">
        <v>0</v>
      </c>
      <c r="O90" s="1">
        <v>0</v>
      </c>
      <c r="P90" s="1">
        <v>0</v>
      </c>
      <c r="Q90" s="1"/>
      <c r="R90" s="1"/>
      <c r="S90" s="1"/>
    </row>
    <row r="91" spans="1:19" x14ac:dyDescent="0.25">
      <c r="A91" s="21" t="s">
        <v>366</v>
      </c>
      <c r="B91" s="1" t="s">
        <v>41</v>
      </c>
      <c r="C91" s="1">
        <v>1434268</v>
      </c>
      <c r="D91" s="1" t="s">
        <v>242</v>
      </c>
      <c r="E91" s="1" t="s">
        <v>243</v>
      </c>
      <c r="F91" s="28" t="s">
        <v>788</v>
      </c>
      <c r="G91" s="1" t="s">
        <v>624</v>
      </c>
      <c r="H91" s="1"/>
      <c r="I91" s="11">
        <v>4</v>
      </c>
      <c r="J91" s="11"/>
      <c r="K91" s="27">
        <v>7.6923076923076927E-2</v>
      </c>
      <c r="L91" s="1">
        <v>2</v>
      </c>
      <c r="M91" s="1">
        <v>2</v>
      </c>
      <c r="N91" s="1">
        <v>2</v>
      </c>
      <c r="O91" s="1">
        <v>1</v>
      </c>
      <c r="P91" s="1">
        <v>1</v>
      </c>
      <c r="Q91" s="1"/>
      <c r="R91" s="1"/>
      <c r="S91" s="1"/>
    </row>
    <row r="92" spans="1:19" x14ac:dyDescent="0.25">
      <c r="A92" s="21" t="s">
        <v>366</v>
      </c>
      <c r="B92" s="1" t="s">
        <v>41</v>
      </c>
      <c r="C92" s="1">
        <v>1434250</v>
      </c>
      <c r="D92" s="1" t="s">
        <v>256</v>
      </c>
      <c r="E92" s="1" t="s">
        <v>257</v>
      </c>
      <c r="F92" s="28" t="s">
        <v>788</v>
      </c>
      <c r="G92" s="1" t="s">
        <v>625</v>
      </c>
      <c r="H92" s="1"/>
      <c r="I92" s="11">
        <v>7</v>
      </c>
      <c r="J92" s="11"/>
      <c r="K92" s="27">
        <v>0.13461538461538461</v>
      </c>
      <c r="L92" s="1">
        <v>3</v>
      </c>
      <c r="M92" s="1">
        <v>2</v>
      </c>
      <c r="N92" s="1">
        <v>2</v>
      </c>
      <c r="O92" s="1">
        <v>2</v>
      </c>
      <c r="P92" s="1">
        <v>2</v>
      </c>
      <c r="Q92" s="1"/>
      <c r="R92" s="1"/>
      <c r="S92" s="1"/>
    </row>
    <row r="93" spans="1:19" x14ac:dyDescent="0.25">
      <c r="A93" s="21" t="s">
        <v>366</v>
      </c>
      <c r="B93" s="1" t="s">
        <v>41</v>
      </c>
      <c r="C93" s="1">
        <v>1434241</v>
      </c>
      <c r="D93" s="1" t="s">
        <v>260</v>
      </c>
      <c r="E93" s="1" t="s">
        <v>261</v>
      </c>
      <c r="F93" s="28" t="s">
        <v>788</v>
      </c>
      <c r="G93" s="1" t="s">
        <v>626</v>
      </c>
      <c r="H93" s="1"/>
      <c r="I93" s="11">
        <v>12</v>
      </c>
      <c r="J93" s="11"/>
      <c r="K93" s="27">
        <v>0.23076923076923078</v>
      </c>
      <c r="L93" s="1">
        <v>3</v>
      </c>
      <c r="M93" s="1">
        <v>1</v>
      </c>
      <c r="N93" s="1">
        <v>1</v>
      </c>
      <c r="O93" s="1">
        <v>1</v>
      </c>
      <c r="P93" s="1">
        <v>1</v>
      </c>
      <c r="Q93" s="1"/>
      <c r="R93" s="1"/>
      <c r="S93" s="1"/>
    </row>
    <row r="94" spans="1:19" x14ac:dyDescent="0.25">
      <c r="A94" s="21" t="s">
        <v>366</v>
      </c>
      <c r="B94" s="1" t="s">
        <v>41</v>
      </c>
      <c r="C94" s="1">
        <v>1033018</v>
      </c>
      <c r="D94" s="1" t="s">
        <v>262</v>
      </c>
      <c r="E94" s="1" t="s">
        <v>263</v>
      </c>
      <c r="F94" s="28" t="s">
        <v>727</v>
      </c>
      <c r="G94" s="1" t="s">
        <v>629</v>
      </c>
      <c r="H94" s="1"/>
      <c r="I94" s="11">
        <v>29</v>
      </c>
      <c r="J94" s="11" t="s">
        <v>688</v>
      </c>
      <c r="K94" s="27">
        <v>0.55769230769230771</v>
      </c>
      <c r="L94" s="1">
        <v>5</v>
      </c>
      <c r="M94" s="1">
        <v>2</v>
      </c>
      <c r="N94" s="1">
        <v>2</v>
      </c>
      <c r="O94" s="1">
        <v>2</v>
      </c>
      <c r="P94" s="1">
        <v>2</v>
      </c>
      <c r="Q94" s="1"/>
      <c r="R94" s="1"/>
      <c r="S94" s="1"/>
    </row>
    <row r="95" spans="1:19" x14ac:dyDescent="0.25">
      <c r="A95" s="21" t="s">
        <v>366</v>
      </c>
      <c r="B95" s="1" t="s">
        <v>41</v>
      </c>
      <c r="C95" s="21">
        <v>1033000</v>
      </c>
      <c r="D95" s="21" t="s">
        <v>264</v>
      </c>
      <c r="E95" s="21" t="s">
        <v>265</v>
      </c>
      <c r="F95" s="28" t="s">
        <v>727</v>
      </c>
      <c r="G95" s="1" t="s">
        <v>630</v>
      </c>
      <c r="H95" s="1"/>
      <c r="I95" s="11">
        <v>45</v>
      </c>
      <c r="J95" s="11" t="s">
        <v>688</v>
      </c>
      <c r="K95" s="27">
        <v>0.86538461538461542</v>
      </c>
      <c r="L95" s="1">
        <v>5</v>
      </c>
      <c r="M95" s="1">
        <v>2</v>
      </c>
      <c r="N95" s="1">
        <v>2</v>
      </c>
      <c r="O95" s="1">
        <v>2</v>
      </c>
      <c r="P95" s="1">
        <v>2</v>
      </c>
      <c r="Q95" s="1"/>
      <c r="R95" s="1"/>
      <c r="S95" s="1"/>
    </row>
    <row r="96" spans="1:19" x14ac:dyDescent="0.25">
      <c r="A96" s="21" t="s">
        <v>366</v>
      </c>
      <c r="B96" s="1" t="s">
        <v>41</v>
      </c>
      <c r="C96" s="1">
        <v>1032992</v>
      </c>
      <c r="D96" s="1" t="s">
        <v>266</v>
      </c>
      <c r="E96" s="1" t="s">
        <v>267</v>
      </c>
      <c r="F96" s="28" t="s">
        <v>727</v>
      </c>
      <c r="G96" s="1" t="s">
        <v>631</v>
      </c>
      <c r="H96" s="1"/>
      <c r="I96" s="11">
        <v>19</v>
      </c>
      <c r="J96" s="11" t="s">
        <v>688</v>
      </c>
      <c r="K96" s="27">
        <v>0.36538461538461536</v>
      </c>
      <c r="L96" s="1">
        <v>5</v>
      </c>
      <c r="M96" s="1">
        <v>2</v>
      </c>
      <c r="N96" s="1">
        <v>2</v>
      </c>
      <c r="O96" s="1">
        <v>2</v>
      </c>
      <c r="P96" s="1">
        <v>2</v>
      </c>
      <c r="Q96" s="1"/>
      <c r="R96" s="1"/>
      <c r="S96" s="1"/>
    </row>
    <row r="97" spans="1:19" x14ac:dyDescent="0.25">
      <c r="A97" s="21" t="s">
        <v>366</v>
      </c>
      <c r="B97" s="1" t="s">
        <v>41</v>
      </c>
      <c r="C97" s="1">
        <v>1032984</v>
      </c>
      <c r="D97" s="1" t="s">
        <v>272</v>
      </c>
      <c r="E97" s="1" t="s">
        <v>273</v>
      </c>
      <c r="F97" s="28" t="s">
        <v>727</v>
      </c>
      <c r="G97" s="1" t="s">
        <v>632</v>
      </c>
      <c r="H97" s="1"/>
      <c r="I97" s="11">
        <v>18</v>
      </c>
      <c r="J97" s="11" t="s">
        <v>688</v>
      </c>
      <c r="K97" s="27">
        <v>0.34615384615384615</v>
      </c>
      <c r="L97" s="1">
        <v>3</v>
      </c>
      <c r="M97" s="1">
        <v>5</v>
      </c>
      <c r="N97" s="1">
        <v>5</v>
      </c>
      <c r="O97" s="1">
        <v>5</v>
      </c>
      <c r="P97" s="1">
        <v>5</v>
      </c>
      <c r="Q97" s="1"/>
      <c r="R97" s="1"/>
      <c r="S97" s="1"/>
    </row>
    <row r="98" spans="1:19" x14ac:dyDescent="0.25">
      <c r="A98" s="21" t="s">
        <v>366</v>
      </c>
      <c r="B98" s="1" t="s">
        <v>41</v>
      </c>
      <c r="C98" s="1">
        <v>1032976</v>
      </c>
      <c r="D98" s="1" t="s">
        <v>284</v>
      </c>
      <c r="E98" s="1" t="s">
        <v>285</v>
      </c>
      <c r="F98" s="28" t="s">
        <v>727</v>
      </c>
      <c r="G98" s="1" t="s">
        <v>633</v>
      </c>
      <c r="H98" s="1"/>
      <c r="I98" s="11">
        <v>21</v>
      </c>
      <c r="J98" s="11" t="s">
        <v>688</v>
      </c>
      <c r="K98" s="27">
        <v>0.40384615384615385</v>
      </c>
      <c r="L98" s="1">
        <v>3</v>
      </c>
      <c r="M98" s="1">
        <v>4</v>
      </c>
      <c r="N98" s="1">
        <v>4</v>
      </c>
      <c r="O98" s="1">
        <v>3</v>
      </c>
      <c r="P98" s="1">
        <v>3</v>
      </c>
      <c r="Q98" s="1"/>
      <c r="R98" s="1"/>
      <c r="S98" s="1"/>
    </row>
    <row r="99" spans="1:19" x14ac:dyDescent="0.25">
      <c r="A99" s="21" t="s">
        <v>366</v>
      </c>
      <c r="B99" s="1" t="s">
        <v>41</v>
      </c>
      <c r="C99" s="1">
        <v>1032968</v>
      </c>
      <c r="D99" s="1" t="s">
        <v>286</v>
      </c>
      <c r="E99" s="1" t="s">
        <v>287</v>
      </c>
      <c r="F99" s="28" t="s">
        <v>727</v>
      </c>
      <c r="G99" s="1" t="s">
        <v>611</v>
      </c>
      <c r="H99" s="1"/>
      <c r="I99" s="11">
        <v>66</v>
      </c>
      <c r="J99" s="11" t="s">
        <v>688</v>
      </c>
      <c r="K99" s="27">
        <v>1.2692307692307692</v>
      </c>
      <c r="L99" s="1">
        <v>5</v>
      </c>
      <c r="M99" s="1">
        <v>0</v>
      </c>
      <c r="N99" s="1">
        <v>0</v>
      </c>
      <c r="O99" s="1">
        <v>0</v>
      </c>
      <c r="P99" s="1">
        <v>0</v>
      </c>
      <c r="Q99" s="1"/>
      <c r="R99" s="1"/>
      <c r="S99" s="1"/>
    </row>
    <row r="100" spans="1:19" x14ac:dyDescent="0.25">
      <c r="A100" s="21" t="s">
        <v>366</v>
      </c>
      <c r="B100" s="1" t="s">
        <v>41</v>
      </c>
      <c r="C100" s="1">
        <v>1372300</v>
      </c>
      <c r="D100" s="1" t="s">
        <v>314</v>
      </c>
      <c r="E100" s="1" t="s">
        <v>315</v>
      </c>
      <c r="F100" s="28" t="s">
        <v>738</v>
      </c>
      <c r="G100" s="1" t="s">
        <v>607</v>
      </c>
      <c r="H100" s="1" t="s">
        <v>316</v>
      </c>
      <c r="I100" s="11">
        <v>41</v>
      </c>
      <c r="J100" s="11" t="s">
        <v>688</v>
      </c>
      <c r="K100" s="27">
        <v>0.78846153846153844</v>
      </c>
      <c r="L100" s="1">
        <v>5</v>
      </c>
      <c r="M100" s="1">
        <v>0</v>
      </c>
      <c r="N100" s="1">
        <v>0</v>
      </c>
      <c r="O100" s="1">
        <v>0</v>
      </c>
      <c r="P100" s="1">
        <v>0</v>
      </c>
      <c r="Q100" s="1"/>
      <c r="R100" s="1"/>
      <c r="S100" s="1"/>
    </row>
    <row r="101" spans="1:19" x14ac:dyDescent="0.25">
      <c r="A101" s="21" t="s">
        <v>366</v>
      </c>
      <c r="B101" s="1" t="s">
        <v>41</v>
      </c>
      <c r="C101" s="1">
        <v>1372319</v>
      </c>
      <c r="D101" s="1" t="s">
        <v>325</v>
      </c>
      <c r="E101" s="1" t="s">
        <v>326</v>
      </c>
      <c r="F101" s="28" t="s">
        <v>738</v>
      </c>
      <c r="G101" s="1" t="s">
        <v>620</v>
      </c>
      <c r="H101" s="1" t="s">
        <v>209</v>
      </c>
      <c r="I101" s="11">
        <v>21</v>
      </c>
      <c r="J101" s="11" t="s">
        <v>688</v>
      </c>
      <c r="K101" s="27">
        <v>0.40384615384615385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/>
      <c r="R101" s="1"/>
      <c r="S101" s="1"/>
    </row>
    <row r="102" spans="1:19" x14ac:dyDescent="0.25">
      <c r="A102" s="21" t="s">
        <v>366</v>
      </c>
      <c r="B102" s="1" t="s">
        <v>41</v>
      </c>
      <c r="C102" s="1">
        <v>1372327</v>
      </c>
      <c r="D102" s="1" t="s">
        <v>327</v>
      </c>
      <c r="E102" s="1" t="s">
        <v>328</v>
      </c>
      <c r="F102" s="28" t="s">
        <v>738</v>
      </c>
      <c r="G102" s="1" t="s">
        <v>636</v>
      </c>
      <c r="H102" s="1" t="s">
        <v>209</v>
      </c>
      <c r="I102" s="11">
        <v>15</v>
      </c>
      <c r="J102" s="11" t="s">
        <v>688</v>
      </c>
      <c r="K102" s="27">
        <v>0.28846153846153844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/>
      <c r="R102" s="1"/>
      <c r="S102" s="1"/>
    </row>
    <row r="103" spans="1:19" x14ac:dyDescent="0.25">
      <c r="A103" s="21" t="s">
        <v>366</v>
      </c>
      <c r="B103" s="1" t="s">
        <v>41</v>
      </c>
      <c r="C103" s="1">
        <v>1036947</v>
      </c>
      <c r="D103" s="1" t="s">
        <v>329</v>
      </c>
      <c r="E103" s="1" t="s">
        <v>330</v>
      </c>
      <c r="F103" s="28" t="s">
        <v>789</v>
      </c>
      <c r="G103" s="1" t="s">
        <v>629</v>
      </c>
      <c r="H103" s="1"/>
      <c r="I103" s="11">
        <v>7</v>
      </c>
      <c r="J103" s="11"/>
      <c r="K103" s="27">
        <v>0.13461538461538461</v>
      </c>
      <c r="L103" s="1">
        <v>2</v>
      </c>
      <c r="M103" s="1">
        <v>0</v>
      </c>
      <c r="N103" s="1">
        <v>0</v>
      </c>
      <c r="O103" s="1">
        <v>0</v>
      </c>
      <c r="P103" s="1">
        <v>0</v>
      </c>
      <c r="Q103" s="1"/>
      <c r="R103" s="1"/>
      <c r="S103" s="1"/>
    </row>
    <row r="104" spans="1:19" x14ac:dyDescent="0.25">
      <c r="A104" s="21" t="s">
        <v>366</v>
      </c>
      <c r="B104" s="1" t="s">
        <v>41</v>
      </c>
      <c r="C104" s="1">
        <v>1036939</v>
      </c>
      <c r="D104" s="1" t="s">
        <v>357</v>
      </c>
      <c r="E104" s="1" t="s">
        <v>358</v>
      </c>
      <c r="F104" s="28" t="s">
        <v>789</v>
      </c>
      <c r="G104" s="1" t="s">
        <v>630</v>
      </c>
      <c r="H104" s="1"/>
      <c r="I104" s="11">
        <v>34</v>
      </c>
      <c r="J104" s="11"/>
      <c r="K104" s="27">
        <v>0.65384615384615385</v>
      </c>
      <c r="L104" s="1">
        <v>5</v>
      </c>
      <c r="M104" s="1">
        <v>0</v>
      </c>
      <c r="N104" s="1">
        <v>0</v>
      </c>
      <c r="O104" s="1">
        <v>0</v>
      </c>
      <c r="P104" s="1">
        <v>0</v>
      </c>
      <c r="Q104" s="1"/>
      <c r="R104" s="1"/>
      <c r="S104" s="1"/>
    </row>
    <row r="105" spans="1:19" x14ac:dyDescent="0.25">
      <c r="A105" s="21" t="s">
        <v>366</v>
      </c>
      <c r="B105" s="1" t="s">
        <v>41</v>
      </c>
      <c r="C105" s="1">
        <v>1036920</v>
      </c>
      <c r="D105" s="1" t="s">
        <v>359</v>
      </c>
      <c r="E105" s="1" t="s">
        <v>360</v>
      </c>
      <c r="F105" s="28" t="s">
        <v>789</v>
      </c>
      <c r="G105" s="1" t="s">
        <v>644</v>
      </c>
      <c r="H105" s="1"/>
      <c r="I105" s="11">
        <v>0</v>
      </c>
      <c r="J105" s="11"/>
      <c r="K105" s="11">
        <v>0</v>
      </c>
      <c r="L105" s="1">
        <v>5</v>
      </c>
      <c r="M105" s="1">
        <v>0</v>
      </c>
      <c r="N105" s="1">
        <v>0</v>
      </c>
      <c r="O105" s="1">
        <v>0</v>
      </c>
      <c r="P105" s="1">
        <v>0</v>
      </c>
      <c r="Q105" s="1"/>
      <c r="R105" s="1"/>
      <c r="S105" s="1"/>
    </row>
    <row r="106" spans="1:19" x14ac:dyDescent="0.25">
      <c r="A106" s="21" t="s">
        <v>366</v>
      </c>
      <c r="B106" s="1" t="s">
        <v>26</v>
      </c>
      <c r="C106" s="1">
        <v>1136909</v>
      </c>
      <c r="D106" s="1" t="s">
        <v>144</v>
      </c>
      <c r="E106" s="1" t="s">
        <v>145</v>
      </c>
      <c r="F106" s="28" t="s">
        <v>758</v>
      </c>
      <c r="G106" s="1" t="s">
        <v>605</v>
      </c>
      <c r="H106" s="1"/>
      <c r="I106" s="11">
        <v>33</v>
      </c>
      <c r="J106" s="11" t="s">
        <v>688</v>
      </c>
      <c r="K106" s="27">
        <v>0.63461538461538458</v>
      </c>
      <c r="L106" s="1">
        <v>5</v>
      </c>
      <c r="M106" s="1">
        <v>0</v>
      </c>
      <c r="N106" s="1">
        <v>0</v>
      </c>
      <c r="O106" s="1">
        <v>0</v>
      </c>
      <c r="P106" s="1">
        <v>0</v>
      </c>
      <c r="Q106" s="1"/>
      <c r="R106" s="1"/>
      <c r="S106" s="1"/>
    </row>
    <row r="107" spans="1:19" x14ac:dyDescent="0.25">
      <c r="A107" s="21" t="s">
        <v>366</v>
      </c>
      <c r="B107" s="1" t="s">
        <v>26</v>
      </c>
      <c r="C107" s="1">
        <v>1037005</v>
      </c>
      <c r="D107" s="1" t="s">
        <v>162</v>
      </c>
      <c r="E107" s="1" t="s">
        <v>163</v>
      </c>
      <c r="F107" s="28" t="s">
        <v>790</v>
      </c>
      <c r="G107" s="1" t="s">
        <v>616</v>
      </c>
      <c r="H107" s="1"/>
      <c r="I107" s="11">
        <v>31</v>
      </c>
      <c r="J107" s="11" t="s">
        <v>688</v>
      </c>
      <c r="K107" s="27">
        <v>0.59615384615384615</v>
      </c>
      <c r="L107" s="1">
        <v>5</v>
      </c>
      <c r="M107" s="1">
        <v>0</v>
      </c>
      <c r="N107" s="1">
        <v>0</v>
      </c>
      <c r="O107" s="1">
        <v>0</v>
      </c>
      <c r="P107" s="1">
        <v>0</v>
      </c>
      <c r="Q107" s="1"/>
      <c r="R107" s="1"/>
      <c r="S107" s="1"/>
    </row>
    <row r="108" spans="1:19" x14ac:dyDescent="0.25">
      <c r="A108" s="21" t="s">
        <v>366</v>
      </c>
      <c r="B108" s="1" t="s">
        <v>26</v>
      </c>
      <c r="C108" s="1">
        <v>1036980</v>
      </c>
      <c r="D108" s="1" t="s">
        <v>53</v>
      </c>
      <c r="E108" s="1" t="s">
        <v>54</v>
      </c>
      <c r="F108" s="28" t="s">
        <v>791</v>
      </c>
      <c r="G108" s="1" t="s">
        <v>616</v>
      </c>
      <c r="H108" s="1"/>
      <c r="I108" s="11">
        <v>80</v>
      </c>
      <c r="J108" s="11"/>
      <c r="K108" s="27">
        <v>1.5384615384615385</v>
      </c>
      <c r="L108" s="1">
        <v>5</v>
      </c>
      <c r="M108" s="1">
        <v>0</v>
      </c>
      <c r="N108" s="1">
        <v>0</v>
      </c>
      <c r="O108" s="1">
        <v>0</v>
      </c>
      <c r="P108" s="1">
        <v>0</v>
      </c>
      <c r="Q108" s="1"/>
      <c r="R108" s="1"/>
      <c r="S108" s="1"/>
    </row>
    <row r="109" spans="1:19" x14ac:dyDescent="0.25">
      <c r="A109" s="21" t="s">
        <v>366</v>
      </c>
      <c r="B109" s="1" t="s">
        <v>26</v>
      </c>
      <c r="C109" s="1">
        <v>1036998</v>
      </c>
      <c r="D109" s="1" t="s">
        <v>27</v>
      </c>
      <c r="E109" s="1" t="s">
        <v>28</v>
      </c>
      <c r="F109" s="28" t="s">
        <v>768</v>
      </c>
      <c r="G109" s="1" t="s">
        <v>616</v>
      </c>
      <c r="H109" s="1"/>
      <c r="I109" s="11">
        <v>339</v>
      </c>
      <c r="J109" s="11" t="s">
        <v>688</v>
      </c>
      <c r="K109" s="27">
        <v>6.5192307692307692</v>
      </c>
      <c r="L109" s="1">
        <v>10</v>
      </c>
      <c r="M109" s="1">
        <v>0</v>
      </c>
      <c r="N109" s="1">
        <v>0</v>
      </c>
      <c r="O109" s="1">
        <v>0</v>
      </c>
      <c r="P109" s="1">
        <v>0</v>
      </c>
      <c r="Q109" s="1"/>
      <c r="R109" s="1"/>
      <c r="S109" s="1"/>
    </row>
    <row r="110" spans="1:19" x14ac:dyDescent="0.25">
      <c r="A110" s="21" t="s">
        <v>366</v>
      </c>
      <c r="B110" s="1" t="s">
        <v>29</v>
      </c>
      <c r="C110" s="1">
        <v>1054651</v>
      </c>
      <c r="D110" s="1" t="s">
        <v>30</v>
      </c>
      <c r="E110" s="1" t="s">
        <v>31</v>
      </c>
      <c r="F110" s="28" t="s">
        <v>792</v>
      </c>
      <c r="G110" s="1" t="s">
        <v>600</v>
      </c>
      <c r="H110" s="1"/>
      <c r="I110" s="11">
        <v>54</v>
      </c>
      <c r="J110" s="11" t="s">
        <v>688</v>
      </c>
      <c r="K110" s="27">
        <v>1.0384615384615385</v>
      </c>
      <c r="L110" s="1">
        <v>5</v>
      </c>
      <c r="M110" s="1">
        <v>8</v>
      </c>
      <c r="N110" s="1">
        <v>8</v>
      </c>
      <c r="O110" s="1">
        <v>5</v>
      </c>
      <c r="P110" s="1">
        <v>3</v>
      </c>
      <c r="Q110" s="1"/>
      <c r="R110" s="1"/>
      <c r="S110" s="1"/>
    </row>
    <row r="111" spans="1:19" x14ac:dyDescent="0.25">
      <c r="A111" s="21" t="s">
        <v>366</v>
      </c>
      <c r="B111" s="1" t="s">
        <v>29</v>
      </c>
      <c r="C111" s="1">
        <v>1033131</v>
      </c>
      <c r="D111" s="1" t="s">
        <v>39</v>
      </c>
      <c r="E111" s="1" t="s">
        <v>40</v>
      </c>
      <c r="F111" s="28" t="s">
        <v>793</v>
      </c>
      <c r="G111" s="1" t="s">
        <v>612</v>
      </c>
      <c r="H111" s="1"/>
      <c r="I111" s="11">
        <v>99</v>
      </c>
      <c r="J111" s="11"/>
      <c r="K111" s="27">
        <v>1.9038461538461537</v>
      </c>
      <c r="L111" s="1">
        <v>5</v>
      </c>
      <c r="M111" s="1">
        <v>5</v>
      </c>
      <c r="N111" s="1">
        <v>5</v>
      </c>
      <c r="O111" s="1">
        <v>4</v>
      </c>
      <c r="P111" s="1">
        <v>6</v>
      </c>
      <c r="Q111" s="1"/>
      <c r="R111" s="1"/>
      <c r="S111" s="1"/>
    </row>
    <row r="112" spans="1:19" x14ac:dyDescent="0.25">
      <c r="A112" s="21" t="s">
        <v>366</v>
      </c>
      <c r="B112" s="1" t="s">
        <v>29</v>
      </c>
      <c r="C112" s="1">
        <v>1037838</v>
      </c>
      <c r="D112" s="1" t="s">
        <v>46</v>
      </c>
      <c r="E112" s="1" t="s">
        <v>47</v>
      </c>
      <c r="F112" s="28" t="s">
        <v>794</v>
      </c>
      <c r="G112" s="1" t="s">
        <v>603</v>
      </c>
      <c r="H112" s="1"/>
      <c r="I112" s="11">
        <v>70</v>
      </c>
      <c r="J112" s="11"/>
      <c r="K112" s="27">
        <v>1.3461538461538463</v>
      </c>
      <c r="L112" s="1">
        <v>5</v>
      </c>
      <c r="M112" s="1">
        <v>0</v>
      </c>
      <c r="N112" s="1">
        <v>0</v>
      </c>
      <c r="O112" s="1">
        <v>0</v>
      </c>
      <c r="P112" s="1">
        <v>0</v>
      </c>
      <c r="Q112" s="1"/>
      <c r="R112" s="1"/>
      <c r="S112" s="1"/>
    </row>
    <row r="113" spans="1:19" x14ac:dyDescent="0.25">
      <c r="A113" s="21" t="s">
        <v>366</v>
      </c>
      <c r="B113" s="1" t="s">
        <v>29</v>
      </c>
      <c r="C113" s="1">
        <v>1033140</v>
      </c>
      <c r="D113" s="1" t="s">
        <v>48</v>
      </c>
      <c r="E113" s="1" t="s">
        <v>49</v>
      </c>
      <c r="F113" s="28" t="s">
        <v>795</v>
      </c>
      <c r="G113" s="1" t="s">
        <v>615</v>
      </c>
      <c r="H113" s="1"/>
      <c r="I113" s="11">
        <v>81</v>
      </c>
      <c r="J113" s="11"/>
      <c r="K113" s="27">
        <v>1.5576923076923077</v>
      </c>
      <c r="L113" s="1">
        <v>20</v>
      </c>
      <c r="M113" s="1">
        <v>60</v>
      </c>
      <c r="N113" s="1">
        <v>45</v>
      </c>
      <c r="O113" s="1">
        <v>45</v>
      </c>
      <c r="P113" s="1">
        <v>60</v>
      </c>
      <c r="Q113" s="1"/>
      <c r="R113" s="1"/>
      <c r="S113" s="1"/>
    </row>
    <row r="114" spans="1:19" x14ac:dyDescent="0.25">
      <c r="A114" s="21" t="s">
        <v>366</v>
      </c>
      <c r="B114" s="1" t="s">
        <v>29</v>
      </c>
      <c r="C114" s="1">
        <v>1372734</v>
      </c>
      <c r="D114" s="1" t="s">
        <v>55</v>
      </c>
      <c r="E114" s="1" t="s">
        <v>56</v>
      </c>
      <c r="F114" s="28" t="s">
        <v>761</v>
      </c>
      <c r="G114" s="1" t="s">
        <v>612</v>
      </c>
      <c r="H114" s="1"/>
      <c r="I114" s="11">
        <v>210</v>
      </c>
      <c r="J114" s="11"/>
      <c r="K114" s="27">
        <v>4.0384615384615383</v>
      </c>
      <c r="L114" s="1">
        <v>10</v>
      </c>
      <c r="M114" s="1">
        <v>0</v>
      </c>
      <c r="N114" s="1">
        <v>0</v>
      </c>
      <c r="O114" s="1">
        <v>0</v>
      </c>
      <c r="P114" s="1">
        <v>0</v>
      </c>
      <c r="Q114" s="1"/>
      <c r="R114" s="1"/>
      <c r="S114" s="1"/>
    </row>
    <row r="115" spans="1:19" x14ac:dyDescent="0.25">
      <c r="A115" s="21" t="s">
        <v>366</v>
      </c>
      <c r="B115" s="1" t="s">
        <v>29</v>
      </c>
      <c r="C115" s="1">
        <v>1372742</v>
      </c>
      <c r="D115" s="1" t="s">
        <v>63</v>
      </c>
      <c r="E115" s="1" t="s">
        <v>64</v>
      </c>
      <c r="F115" s="28" t="s">
        <v>761</v>
      </c>
      <c r="G115" s="1" t="s">
        <v>598</v>
      </c>
      <c r="H115" s="1"/>
      <c r="I115" s="11">
        <v>98</v>
      </c>
      <c r="J115" s="11" t="s">
        <v>688</v>
      </c>
      <c r="K115" s="27">
        <v>1.8846153846153846</v>
      </c>
      <c r="L115" s="1">
        <v>5</v>
      </c>
      <c r="M115" s="1">
        <v>0</v>
      </c>
      <c r="N115" s="1">
        <v>0</v>
      </c>
      <c r="O115" s="1">
        <v>0</v>
      </c>
      <c r="P115" s="1">
        <v>0</v>
      </c>
      <c r="Q115" s="1"/>
      <c r="R115" s="1"/>
      <c r="S115" s="1"/>
    </row>
    <row r="116" spans="1:19" x14ac:dyDescent="0.25">
      <c r="A116" s="21" t="s">
        <v>366</v>
      </c>
      <c r="B116" s="1" t="s">
        <v>29</v>
      </c>
      <c r="C116" s="1">
        <v>1372726</v>
      </c>
      <c r="D116" s="1" t="s">
        <v>65</v>
      </c>
      <c r="E116" s="1" t="s">
        <v>66</v>
      </c>
      <c r="F116" s="28" t="s">
        <v>761</v>
      </c>
      <c r="G116" s="1" t="s">
        <v>603</v>
      </c>
      <c r="H116" s="1"/>
      <c r="I116" s="11">
        <v>149</v>
      </c>
      <c r="J116" s="11" t="s">
        <v>688</v>
      </c>
      <c r="K116" s="27">
        <v>2.8653846153846154</v>
      </c>
      <c r="L116" s="1">
        <v>5</v>
      </c>
      <c r="M116" s="1">
        <v>0</v>
      </c>
      <c r="N116" s="1">
        <v>0</v>
      </c>
      <c r="O116" s="1">
        <v>0</v>
      </c>
      <c r="P116" s="1">
        <v>0</v>
      </c>
      <c r="Q116" s="1"/>
      <c r="R116" s="1"/>
      <c r="S116" s="1"/>
    </row>
    <row r="117" spans="1:19" x14ac:dyDescent="0.25">
      <c r="A117" s="21" t="s">
        <v>366</v>
      </c>
      <c r="B117" s="1" t="s">
        <v>29</v>
      </c>
      <c r="C117" s="1">
        <v>1215213</v>
      </c>
      <c r="D117" s="1" t="s">
        <v>70</v>
      </c>
      <c r="E117" s="1" t="s">
        <v>71</v>
      </c>
      <c r="F117" s="28" t="s">
        <v>796</v>
      </c>
      <c r="G117" s="1" t="s">
        <v>614</v>
      </c>
      <c r="H117" s="1"/>
      <c r="I117" s="11">
        <v>32</v>
      </c>
      <c r="J117" s="11"/>
      <c r="K117" s="27">
        <v>0.61538461538461542</v>
      </c>
      <c r="L117" s="1">
        <v>5</v>
      </c>
      <c r="M117" s="1">
        <v>10</v>
      </c>
      <c r="N117" s="1">
        <v>10</v>
      </c>
      <c r="O117" s="1">
        <v>10</v>
      </c>
      <c r="P117" s="1">
        <v>10</v>
      </c>
      <c r="Q117" s="1"/>
      <c r="R117" s="1"/>
      <c r="S117" s="1"/>
    </row>
    <row r="118" spans="1:19" x14ac:dyDescent="0.25">
      <c r="A118" s="21" t="s">
        <v>366</v>
      </c>
      <c r="B118" s="1" t="s">
        <v>29</v>
      </c>
      <c r="C118" s="1">
        <v>1215205</v>
      </c>
      <c r="D118" s="1" t="s">
        <v>80</v>
      </c>
      <c r="E118" s="1" t="s">
        <v>81</v>
      </c>
      <c r="F118" s="28" t="s">
        <v>796</v>
      </c>
      <c r="G118" s="1" t="s">
        <v>610</v>
      </c>
      <c r="H118" s="1"/>
      <c r="I118" s="11">
        <v>28</v>
      </c>
      <c r="J118" s="11"/>
      <c r="K118" s="27">
        <v>0.53846153846153844</v>
      </c>
      <c r="L118" s="1">
        <v>5</v>
      </c>
      <c r="M118" s="1">
        <v>10</v>
      </c>
      <c r="N118" s="1">
        <v>10</v>
      </c>
      <c r="O118" s="1">
        <v>10</v>
      </c>
      <c r="P118" s="1">
        <v>10</v>
      </c>
      <c r="Q118" s="1"/>
      <c r="R118" s="1"/>
      <c r="S118" s="1"/>
    </row>
    <row r="119" spans="1:19" x14ac:dyDescent="0.25">
      <c r="A119" s="21" t="s">
        <v>366</v>
      </c>
      <c r="B119" s="1" t="s">
        <v>29</v>
      </c>
      <c r="C119" s="1">
        <v>1215191</v>
      </c>
      <c r="D119" s="1" t="s">
        <v>82</v>
      </c>
      <c r="E119" s="1" t="s">
        <v>83</v>
      </c>
      <c r="F119" s="28" t="s">
        <v>796</v>
      </c>
      <c r="G119" s="1" t="s">
        <v>635</v>
      </c>
      <c r="H119" s="1"/>
      <c r="I119" s="11">
        <v>55</v>
      </c>
      <c r="J119" s="11" t="s">
        <v>688</v>
      </c>
      <c r="K119" s="27">
        <v>1.0576923076923077</v>
      </c>
      <c r="L119" s="1">
        <v>5</v>
      </c>
      <c r="M119" s="1">
        <v>15</v>
      </c>
      <c r="N119" s="1">
        <v>15</v>
      </c>
      <c r="O119" s="1">
        <v>15</v>
      </c>
      <c r="P119" s="1">
        <v>15</v>
      </c>
      <c r="Q119" s="1"/>
      <c r="R119" s="1"/>
      <c r="S119" s="1"/>
    </row>
    <row r="120" spans="1:19" x14ac:dyDescent="0.25">
      <c r="A120" s="21" t="s">
        <v>366</v>
      </c>
      <c r="B120" s="1" t="s">
        <v>29</v>
      </c>
      <c r="C120" s="1">
        <v>1037226</v>
      </c>
      <c r="D120" s="1" t="s">
        <v>90</v>
      </c>
      <c r="E120" s="1" t="s">
        <v>91</v>
      </c>
      <c r="F120" s="28" t="s">
        <v>797</v>
      </c>
      <c r="G120" s="1" t="s">
        <v>614</v>
      </c>
      <c r="H120" s="1"/>
      <c r="I120" s="11">
        <v>18</v>
      </c>
      <c r="J120" s="11"/>
      <c r="K120" s="27">
        <v>0.34615384615384615</v>
      </c>
      <c r="L120" s="1">
        <v>3</v>
      </c>
      <c r="M120" s="1">
        <v>20</v>
      </c>
      <c r="N120" s="1">
        <v>15</v>
      </c>
      <c r="O120" s="1">
        <v>15</v>
      </c>
      <c r="P120" s="1">
        <v>15</v>
      </c>
      <c r="Q120" s="1"/>
      <c r="R120" s="1"/>
      <c r="S120" s="1"/>
    </row>
    <row r="121" spans="1:19" x14ac:dyDescent="0.25">
      <c r="A121" s="21" t="s">
        <v>366</v>
      </c>
      <c r="B121" s="1" t="s">
        <v>29</v>
      </c>
      <c r="C121" s="1">
        <v>1037218</v>
      </c>
      <c r="D121" s="1" t="s">
        <v>96</v>
      </c>
      <c r="E121" s="1" t="s">
        <v>97</v>
      </c>
      <c r="F121" s="28" t="s">
        <v>797</v>
      </c>
      <c r="G121" s="1" t="s">
        <v>610</v>
      </c>
      <c r="H121" s="1"/>
      <c r="I121" s="11">
        <v>41</v>
      </c>
      <c r="J121" s="11"/>
      <c r="K121" s="27">
        <v>0.78846153846153844</v>
      </c>
      <c r="L121" s="1">
        <v>5</v>
      </c>
      <c r="M121" s="1">
        <v>30</v>
      </c>
      <c r="N121" s="1">
        <v>20</v>
      </c>
      <c r="O121" s="1">
        <v>20</v>
      </c>
      <c r="P121" s="1">
        <v>20</v>
      </c>
      <c r="Q121" s="1"/>
      <c r="R121" s="1"/>
      <c r="S121" s="1"/>
    </row>
    <row r="122" spans="1:19" x14ac:dyDescent="0.25">
      <c r="A122" s="21" t="s">
        <v>366</v>
      </c>
      <c r="B122" s="1" t="s">
        <v>29</v>
      </c>
      <c r="C122" s="1">
        <v>1037200</v>
      </c>
      <c r="D122" s="1" t="s">
        <v>104</v>
      </c>
      <c r="E122" s="1" t="s">
        <v>105</v>
      </c>
      <c r="F122" s="28" t="s">
        <v>797</v>
      </c>
      <c r="G122" s="1" t="s">
        <v>635</v>
      </c>
      <c r="H122" s="1"/>
      <c r="I122" s="11">
        <v>46</v>
      </c>
      <c r="J122" s="11"/>
      <c r="K122" s="27">
        <v>0.88461538461538458</v>
      </c>
      <c r="L122" s="1">
        <v>5</v>
      </c>
      <c r="M122" s="1">
        <v>8</v>
      </c>
      <c r="N122" s="1">
        <v>5</v>
      </c>
      <c r="O122" s="1">
        <v>5</v>
      </c>
      <c r="P122" s="1">
        <v>5</v>
      </c>
      <c r="Q122" s="1"/>
      <c r="R122" s="1"/>
      <c r="S122" s="1"/>
    </row>
    <row r="123" spans="1:19" x14ac:dyDescent="0.25">
      <c r="A123" s="21" t="s">
        <v>366</v>
      </c>
      <c r="B123" s="1" t="s">
        <v>29</v>
      </c>
      <c r="C123" s="1">
        <v>1372769</v>
      </c>
      <c r="D123" s="1" t="s">
        <v>106</v>
      </c>
      <c r="E123" s="1" t="s">
        <v>107</v>
      </c>
      <c r="F123" s="28" t="s">
        <v>798</v>
      </c>
      <c r="G123" s="1" t="s">
        <v>640</v>
      </c>
      <c r="H123" s="1"/>
      <c r="I123" s="11">
        <v>22</v>
      </c>
      <c r="J123" s="11"/>
      <c r="K123" s="27">
        <v>0.42307692307692307</v>
      </c>
      <c r="L123" s="1">
        <v>5</v>
      </c>
      <c r="M123" s="1">
        <v>0</v>
      </c>
      <c r="N123" s="1">
        <v>0</v>
      </c>
      <c r="O123" s="1">
        <v>0</v>
      </c>
      <c r="P123" s="1">
        <v>0</v>
      </c>
      <c r="Q123" s="1"/>
      <c r="R123" s="1"/>
      <c r="S123" s="1"/>
    </row>
    <row r="124" spans="1:19" x14ac:dyDescent="0.25">
      <c r="A124" s="21" t="s">
        <v>366</v>
      </c>
      <c r="B124" s="1" t="s">
        <v>29</v>
      </c>
      <c r="C124" s="1">
        <v>1037846</v>
      </c>
      <c r="D124" s="1" t="s">
        <v>108</v>
      </c>
      <c r="E124" s="1" t="s">
        <v>109</v>
      </c>
      <c r="F124" s="28" t="s">
        <v>760</v>
      </c>
      <c r="G124" s="1" t="s">
        <v>635</v>
      </c>
      <c r="H124" s="1"/>
      <c r="I124" s="11">
        <v>84</v>
      </c>
      <c r="J124" s="11" t="s">
        <v>688</v>
      </c>
      <c r="K124" s="27">
        <v>1.6153846153846154</v>
      </c>
      <c r="L124" s="1">
        <v>5</v>
      </c>
      <c r="M124" s="1">
        <v>0</v>
      </c>
      <c r="N124" s="1">
        <v>0</v>
      </c>
      <c r="O124" s="1">
        <v>0</v>
      </c>
      <c r="P124" s="1">
        <v>0</v>
      </c>
      <c r="Q124" s="1"/>
      <c r="R124" s="1"/>
      <c r="S124" s="1"/>
    </row>
    <row r="125" spans="1:19" x14ac:dyDescent="0.25">
      <c r="A125" s="21" t="s">
        <v>366</v>
      </c>
      <c r="B125" s="1" t="s">
        <v>29</v>
      </c>
      <c r="C125" s="1">
        <v>1037145</v>
      </c>
      <c r="D125" s="1" t="s">
        <v>110</v>
      </c>
      <c r="E125" s="1" t="s">
        <v>111</v>
      </c>
      <c r="F125" s="28" t="s">
        <v>799</v>
      </c>
      <c r="G125" s="1" t="s">
        <v>635</v>
      </c>
      <c r="H125" s="1"/>
      <c r="I125" s="11">
        <v>150</v>
      </c>
      <c r="J125" s="11"/>
      <c r="K125" s="27">
        <v>2.8846153846153846</v>
      </c>
      <c r="L125" s="1">
        <v>5</v>
      </c>
      <c r="M125" s="1">
        <v>0</v>
      </c>
      <c r="N125" s="1">
        <v>0</v>
      </c>
      <c r="O125" s="1">
        <v>0</v>
      </c>
      <c r="P125" s="1">
        <v>0</v>
      </c>
      <c r="Q125" s="1"/>
      <c r="R125" s="1"/>
      <c r="S125" s="1"/>
    </row>
    <row r="126" spans="1:19" x14ac:dyDescent="0.25">
      <c r="A126" s="21" t="s">
        <v>366</v>
      </c>
      <c r="B126" s="1" t="s">
        <v>29</v>
      </c>
      <c r="C126" s="1">
        <v>1397176</v>
      </c>
      <c r="D126" s="1" t="s">
        <v>120</v>
      </c>
      <c r="E126" s="1" t="s">
        <v>121</v>
      </c>
      <c r="F126" s="28" t="s">
        <v>744</v>
      </c>
      <c r="G126" s="1" t="s">
        <v>642</v>
      </c>
      <c r="H126" s="1"/>
      <c r="I126" s="11">
        <v>66</v>
      </c>
      <c r="J126" s="11" t="s">
        <v>688</v>
      </c>
      <c r="K126" s="27">
        <v>1.2692307692307692</v>
      </c>
      <c r="L126" s="1">
        <v>5</v>
      </c>
      <c r="M126" s="1">
        <v>0</v>
      </c>
      <c r="N126" s="1">
        <v>0</v>
      </c>
      <c r="O126" s="1">
        <v>0</v>
      </c>
      <c r="P126" s="1">
        <v>4</v>
      </c>
      <c r="Q126" s="1"/>
      <c r="R126" s="1"/>
      <c r="S126" s="1"/>
    </row>
    <row r="127" spans="1:19" x14ac:dyDescent="0.25">
      <c r="A127" s="21" t="s">
        <v>366</v>
      </c>
      <c r="B127" s="1" t="s">
        <v>29</v>
      </c>
      <c r="C127" s="1">
        <v>1397184</v>
      </c>
      <c r="D127" s="1" t="s">
        <v>134</v>
      </c>
      <c r="E127" s="1" t="s">
        <v>135</v>
      </c>
      <c r="F127" s="28" t="s">
        <v>744</v>
      </c>
      <c r="G127" s="1" t="s">
        <v>626</v>
      </c>
      <c r="H127" s="1"/>
      <c r="I127" s="11">
        <v>51</v>
      </c>
      <c r="J127" s="11"/>
      <c r="K127" s="27">
        <v>0.98076923076923073</v>
      </c>
      <c r="L127" s="1">
        <v>5</v>
      </c>
      <c r="M127" s="1">
        <v>0</v>
      </c>
      <c r="N127" s="1">
        <v>0</v>
      </c>
      <c r="O127" s="1">
        <v>0</v>
      </c>
      <c r="P127" s="1">
        <v>3</v>
      </c>
      <c r="Q127" s="1"/>
      <c r="R127" s="1"/>
      <c r="S127" s="1"/>
    </row>
    <row r="128" spans="1:19" x14ac:dyDescent="0.25">
      <c r="A128" s="21" t="s">
        <v>366</v>
      </c>
      <c r="B128" s="1" t="s">
        <v>29</v>
      </c>
      <c r="C128" s="1">
        <v>1397192</v>
      </c>
      <c r="D128" s="1" t="s">
        <v>158</v>
      </c>
      <c r="E128" s="1" t="s">
        <v>159</v>
      </c>
      <c r="F128" s="28" t="s">
        <v>744</v>
      </c>
      <c r="G128" s="1" t="s">
        <v>643</v>
      </c>
      <c r="H128" s="1"/>
      <c r="I128" s="11">
        <v>29</v>
      </c>
      <c r="J128" s="11" t="s">
        <v>688</v>
      </c>
      <c r="K128" s="27">
        <v>0.55769230769230771</v>
      </c>
      <c r="L128" s="1">
        <v>5</v>
      </c>
      <c r="M128" s="1">
        <v>0</v>
      </c>
      <c r="N128" s="1">
        <v>0</v>
      </c>
      <c r="O128" s="1">
        <v>0</v>
      </c>
      <c r="P128" s="1">
        <v>0</v>
      </c>
      <c r="Q128" s="1"/>
      <c r="R128" s="1"/>
      <c r="S128" s="1"/>
    </row>
    <row r="129" spans="1:19" x14ac:dyDescent="0.25">
      <c r="A129" s="21" t="s">
        <v>366</v>
      </c>
      <c r="B129" s="1" t="s">
        <v>29</v>
      </c>
      <c r="C129" s="1">
        <v>1307070</v>
      </c>
      <c r="D129" s="1" t="s">
        <v>178</v>
      </c>
      <c r="E129" s="1" t="s">
        <v>179</v>
      </c>
      <c r="F129" s="28" t="s">
        <v>800</v>
      </c>
      <c r="G129" s="1" t="s">
        <v>610</v>
      </c>
      <c r="H129" s="1"/>
      <c r="I129" s="11">
        <v>92</v>
      </c>
      <c r="J129" s="11"/>
      <c r="K129" s="27">
        <v>1.7692307692307692</v>
      </c>
      <c r="L129" s="1">
        <v>20</v>
      </c>
      <c r="M129" s="1">
        <v>1</v>
      </c>
      <c r="N129" s="1">
        <v>1</v>
      </c>
      <c r="O129" s="1">
        <v>1</v>
      </c>
      <c r="P129" s="1">
        <v>0</v>
      </c>
      <c r="Q129" s="1"/>
      <c r="R129" s="1"/>
      <c r="S129" s="1"/>
    </row>
    <row r="130" spans="1:19" x14ac:dyDescent="0.25">
      <c r="A130" s="21" t="s">
        <v>366</v>
      </c>
      <c r="B130" s="1" t="s">
        <v>29</v>
      </c>
      <c r="C130" s="1">
        <v>1037129</v>
      </c>
      <c r="D130" s="1" t="s">
        <v>234</v>
      </c>
      <c r="E130" s="1" t="s">
        <v>235</v>
      </c>
      <c r="F130" s="28" t="s">
        <v>801</v>
      </c>
      <c r="G130" s="1" t="s">
        <v>598</v>
      </c>
      <c r="H130" s="1"/>
      <c r="I130" s="11">
        <v>17</v>
      </c>
      <c r="J130" s="11" t="s">
        <v>688</v>
      </c>
      <c r="K130" s="27">
        <v>0.32692307692307693</v>
      </c>
      <c r="L130" s="1">
        <v>3</v>
      </c>
      <c r="M130" s="1">
        <v>0</v>
      </c>
      <c r="N130" s="1">
        <v>0</v>
      </c>
      <c r="O130" s="1">
        <v>0</v>
      </c>
      <c r="P130" s="1">
        <v>0</v>
      </c>
      <c r="Q130" s="1"/>
      <c r="R130" s="1"/>
      <c r="S130" s="1"/>
    </row>
    <row r="131" spans="1:19" x14ac:dyDescent="0.25">
      <c r="A131" s="21" t="s">
        <v>366</v>
      </c>
      <c r="B131" s="1" t="s">
        <v>29</v>
      </c>
      <c r="C131" s="1">
        <v>1037110</v>
      </c>
      <c r="D131" s="1" t="s">
        <v>236</v>
      </c>
      <c r="E131" s="1" t="s">
        <v>237</v>
      </c>
      <c r="F131" s="28" t="s">
        <v>801</v>
      </c>
      <c r="G131" s="1" t="s">
        <v>612</v>
      </c>
      <c r="H131" s="1"/>
      <c r="I131" s="11">
        <v>48</v>
      </c>
      <c r="J131" s="11"/>
      <c r="K131" s="27">
        <v>0.92307692307692313</v>
      </c>
      <c r="L131" s="1">
        <v>5</v>
      </c>
      <c r="M131" s="1">
        <v>0</v>
      </c>
      <c r="N131" s="1">
        <v>0</v>
      </c>
      <c r="O131" s="1">
        <v>0</v>
      </c>
      <c r="P131" s="1">
        <v>0</v>
      </c>
      <c r="Q131" s="1"/>
      <c r="R131" s="1"/>
      <c r="S131" s="1"/>
    </row>
    <row r="132" spans="1:19" x14ac:dyDescent="0.25">
      <c r="A132" s="21" t="s">
        <v>366</v>
      </c>
      <c r="B132" s="1" t="s">
        <v>29</v>
      </c>
      <c r="C132" s="1">
        <v>1037102</v>
      </c>
      <c r="D132" s="1" t="s">
        <v>270</v>
      </c>
      <c r="E132" s="1" t="s">
        <v>271</v>
      </c>
      <c r="F132" s="28" t="s">
        <v>801</v>
      </c>
      <c r="G132" s="1" t="s">
        <v>628</v>
      </c>
      <c r="H132" s="1"/>
      <c r="I132" s="11">
        <v>25</v>
      </c>
      <c r="J132" s="11" t="s">
        <v>688</v>
      </c>
      <c r="K132" s="27">
        <v>0.48076923076923078</v>
      </c>
      <c r="L132" s="1">
        <v>5</v>
      </c>
      <c r="M132" s="1">
        <v>0</v>
      </c>
      <c r="N132" s="1">
        <v>0</v>
      </c>
      <c r="O132" s="1">
        <v>0</v>
      </c>
      <c r="P132" s="1">
        <v>0</v>
      </c>
      <c r="Q132" s="1"/>
      <c r="R132" s="1"/>
      <c r="S132" s="1"/>
    </row>
    <row r="133" spans="1:19" x14ac:dyDescent="0.25">
      <c r="A133" s="21" t="s">
        <v>366</v>
      </c>
      <c r="B133" s="1" t="s">
        <v>18</v>
      </c>
      <c r="C133" s="21">
        <v>1136836</v>
      </c>
      <c r="D133" s="21" t="s">
        <v>19</v>
      </c>
      <c r="E133" s="21" t="s">
        <v>20</v>
      </c>
      <c r="F133" s="28" t="s">
        <v>771</v>
      </c>
      <c r="G133" s="1" t="s">
        <v>598</v>
      </c>
      <c r="H133" s="1"/>
      <c r="I133" s="11">
        <v>253</v>
      </c>
      <c r="J133" s="11" t="s">
        <v>688</v>
      </c>
      <c r="K133" s="27">
        <v>4.865384615384615</v>
      </c>
      <c r="L133" s="1">
        <v>10</v>
      </c>
      <c r="M133" s="1">
        <v>1</v>
      </c>
      <c r="N133" s="1">
        <v>1</v>
      </c>
      <c r="O133" s="1">
        <v>1</v>
      </c>
      <c r="P133" s="1">
        <v>0</v>
      </c>
      <c r="Q133" s="1"/>
      <c r="R133" s="1"/>
      <c r="S133" s="1"/>
    </row>
    <row r="134" spans="1:19" x14ac:dyDescent="0.25">
      <c r="A134" s="21" t="s">
        <v>366</v>
      </c>
      <c r="B134" s="1" t="s">
        <v>18</v>
      </c>
      <c r="C134" s="21">
        <v>1137131</v>
      </c>
      <c r="D134" s="21" t="s">
        <v>94</v>
      </c>
      <c r="E134" s="21" t="s">
        <v>95</v>
      </c>
      <c r="F134" s="28" t="s">
        <v>732</v>
      </c>
      <c r="G134" s="1" t="s">
        <v>601</v>
      </c>
      <c r="H134" s="1"/>
      <c r="I134" s="11">
        <v>357</v>
      </c>
      <c r="J134" s="11" t="s">
        <v>688</v>
      </c>
      <c r="K134" s="27">
        <v>6.865384615384615</v>
      </c>
      <c r="L134" s="1">
        <v>10</v>
      </c>
      <c r="M134" s="1">
        <v>0</v>
      </c>
      <c r="N134" s="1">
        <v>0</v>
      </c>
      <c r="O134" s="1">
        <v>0</v>
      </c>
      <c r="P134" s="1">
        <v>0</v>
      </c>
      <c r="Q134" s="1"/>
      <c r="R134" s="1"/>
      <c r="S134" s="1"/>
    </row>
    <row r="135" spans="1:19" x14ac:dyDescent="0.25">
      <c r="A135" s="21" t="s">
        <v>366</v>
      </c>
      <c r="B135" s="1" t="s">
        <v>18</v>
      </c>
      <c r="C135" s="1">
        <v>1136844</v>
      </c>
      <c r="D135" s="1" t="s">
        <v>128</v>
      </c>
      <c r="E135" s="1" t="s">
        <v>129</v>
      </c>
      <c r="F135" s="28" t="s">
        <v>755</v>
      </c>
      <c r="G135" s="1" t="s">
        <v>598</v>
      </c>
      <c r="H135" s="1"/>
      <c r="I135" s="11">
        <v>41</v>
      </c>
      <c r="J135" s="11" t="s">
        <v>688</v>
      </c>
      <c r="K135" s="27">
        <v>0.78846153846153844</v>
      </c>
      <c r="L135" s="1">
        <v>5</v>
      </c>
      <c r="M135" s="1">
        <v>8</v>
      </c>
      <c r="N135" s="1">
        <v>8</v>
      </c>
      <c r="O135" s="1">
        <v>8</v>
      </c>
      <c r="P135" s="1">
        <v>8</v>
      </c>
      <c r="Q135" s="1"/>
      <c r="R135" s="1"/>
      <c r="S135" s="1"/>
    </row>
    <row r="136" spans="1:19" x14ac:dyDescent="0.25">
      <c r="A136" s="21" t="s">
        <v>366</v>
      </c>
      <c r="B136" s="1" t="s">
        <v>18</v>
      </c>
      <c r="C136" s="1">
        <v>1136852</v>
      </c>
      <c r="D136" s="1" t="s">
        <v>228</v>
      </c>
      <c r="E136" s="1" t="s">
        <v>229</v>
      </c>
      <c r="F136" s="28" t="s">
        <v>754</v>
      </c>
      <c r="G136" s="1" t="s">
        <v>598</v>
      </c>
      <c r="H136" s="1"/>
      <c r="I136" s="11">
        <v>20</v>
      </c>
      <c r="J136" s="11" t="s">
        <v>688</v>
      </c>
      <c r="K136" s="27">
        <v>0.38461538461538464</v>
      </c>
      <c r="L136" s="1">
        <v>3</v>
      </c>
      <c r="M136" s="1">
        <v>0</v>
      </c>
      <c r="N136" s="1">
        <v>0</v>
      </c>
      <c r="O136" s="1">
        <v>0</v>
      </c>
      <c r="P136" s="1">
        <v>0</v>
      </c>
      <c r="Q136" s="1"/>
      <c r="R136" s="1"/>
      <c r="S136" s="1"/>
    </row>
    <row r="137" spans="1:19" x14ac:dyDescent="0.25">
      <c r="A137" s="21" t="s">
        <v>366</v>
      </c>
      <c r="B137" s="1" t="s">
        <v>18</v>
      </c>
      <c r="C137" s="1">
        <v>1037030</v>
      </c>
      <c r="D137" s="1" t="s">
        <v>312</v>
      </c>
      <c r="E137" s="1" t="s">
        <v>313</v>
      </c>
      <c r="F137" s="28" t="s">
        <v>748</v>
      </c>
      <c r="G137" s="1" t="s">
        <v>623</v>
      </c>
      <c r="H137" s="1"/>
      <c r="I137" s="11">
        <v>0</v>
      </c>
      <c r="J137" s="11"/>
      <c r="K137" s="11">
        <v>0</v>
      </c>
      <c r="L137" s="1">
        <v>2</v>
      </c>
      <c r="M137" s="1">
        <v>3</v>
      </c>
      <c r="N137" s="1">
        <v>2</v>
      </c>
      <c r="O137" s="1">
        <v>2</v>
      </c>
      <c r="P137" s="1">
        <v>2</v>
      </c>
      <c r="Q137" s="1"/>
      <c r="R137" s="1"/>
      <c r="S137" s="1"/>
    </row>
    <row r="138" spans="1:19" x14ac:dyDescent="0.25">
      <c r="A138" s="21" t="s">
        <v>366</v>
      </c>
      <c r="B138" s="1" t="s">
        <v>18</v>
      </c>
      <c r="C138" s="1">
        <v>1037021</v>
      </c>
      <c r="D138" s="1" t="s">
        <v>319</v>
      </c>
      <c r="E138" s="1" t="s">
        <v>320</v>
      </c>
      <c r="F138" s="28" t="s">
        <v>748</v>
      </c>
      <c r="G138" s="1" t="s">
        <v>598</v>
      </c>
      <c r="H138" s="1"/>
      <c r="I138" s="11">
        <v>9</v>
      </c>
      <c r="J138" s="11" t="s">
        <v>688</v>
      </c>
      <c r="K138" s="27">
        <v>0.17307692307692307</v>
      </c>
      <c r="L138" s="1">
        <v>3</v>
      </c>
      <c r="M138" s="1">
        <v>2</v>
      </c>
      <c r="N138" s="1">
        <v>1</v>
      </c>
      <c r="O138" s="1">
        <v>1</v>
      </c>
      <c r="P138" s="1">
        <v>1</v>
      </c>
      <c r="Q138" s="1"/>
      <c r="R138" s="1"/>
      <c r="S138" s="1"/>
    </row>
    <row r="139" spans="1:19" x14ac:dyDescent="0.25">
      <c r="A139" s="21" t="s">
        <v>366</v>
      </c>
      <c r="B139" s="1" t="s">
        <v>18</v>
      </c>
      <c r="C139" s="1">
        <v>1037013</v>
      </c>
      <c r="D139" s="1" t="s">
        <v>323</v>
      </c>
      <c r="E139" s="1" t="s">
        <v>324</v>
      </c>
      <c r="F139" s="28" t="s">
        <v>748</v>
      </c>
      <c r="G139" s="1" t="s">
        <v>612</v>
      </c>
      <c r="H139" s="1"/>
      <c r="I139" s="11">
        <v>16</v>
      </c>
      <c r="J139" s="11" t="s">
        <v>688</v>
      </c>
      <c r="K139" s="27">
        <v>0.30769230769230771</v>
      </c>
      <c r="L139" s="1">
        <v>3</v>
      </c>
      <c r="M139" s="1">
        <v>2</v>
      </c>
      <c r="N139" s="1">
        <v>0</v>
      </c>
      <c r="O139" s="1">
        <v>0</v>
      </c>
      <c r="P139" s="1">
        <v>0</v>
      </c>
      <c r="Q139" s="1"/>
      <c r="R139" s="1"/>
      <c r="S139" s="1"/>
    </row>
    <row r="140" spans="1:19" x14ac:dyDescent="0.25">
      <c r="A140" s="21" t="s">
        <v>366</v>
      </c>
      <c r="B140" s="1" t="s">
        <v>18</v>
      </c>
      <c r="C140" s="1">
        <v>1053264</v>
      </c>
      <c r="D140" s="1" t="s">
        <v>339</v>
      </c>
      <c r="E140" s="1" t="s">
        <v>340</v>
      </c>
      <c r="F140" s="28" t="s">
        <v>802</v>
      </c>
      <c r="G140" s="1" t="s">
        <v>606</v>
      </c>
      <c r="H140" s="1"/>
      <c r="I140" s="11">
        <v>48</v>
      </c>
      <c r="J140" s="11"/>
      <c r="K140" s="27">
        <v>0.92307692307692313</v>
      </c>
      <c r="L140" s="1">
        <v>5</v>
      </c>
      <c r="M140" s="1">
        <v>4</v>
      </c>
      <c r="N140" s="1">
        <v>4</v>
      </c>
      <c r="O140" s="1">
        <v>4</v>
      </c>
      <c r="P140" s="1">
        <v>4</v>
      </c>
      <c r="Q140" s="1"/>
      <c r="R140" s="1"/>
      <c r="S140" s="1"/>
    </row>
    <row r="141" spans="1:19" x14ac:dyDescent="0.25">
      <c r="A141" s="21" t="s">
        <v>366</v>
      </c>
      <c r="B141" s="1" t="s">
        <v>6</v>
      </c>
      <c r="C141" s="21">
        <v>1054627</v>
      </c>
      <c r="D141" s="21" t="s">
        <v>7</v>
      </c>
      <c r="E141" s="21" t="s">
        <v>8</v>
      </c>
      <c r="F141" s="28" t="s">
        <v>803</v>
      </c>
      <c r="G141" s="1" t="s">
        <v>603</v>
      </c>
      <c r="H141" s="1"/>
      <c r="I141" s="11">
        <v>1309</v>
      </c>
      <c r="J141" s="11"/>
      <c r="K141" s="27">
        <v>25.173076923076923</v>
      </c>
      <c r="L141" s="1">
        <v>50</v>
      </c>
      <c r="M141" s="1">
        <v>2</v>
      </c>
      <c r="N141" s="1">
        <v>2</v>
      </c>
      <c r="O141" s="1">
        <v>2</v>
      </c>
      <c r="P141" s="1">
        <v>2</v>
      </c>
      <c r="Q141" s="1"/>
      <c r="R141" s="1"/>
      <c r="S141" s="1"/>
    </row>
    <row r="142" spans="1:19" x14ac:dyDescent="0.25">
      <c r="A142" s="21" t="s">
        <v>366</v>
      </c>
      <c r="B142" s="1" t="s">
        <v>6</v>
      </c>
      <c r="C142" s="1">
        <v>1033204</v>
      </c>
      <c r="D142" s="1" t="s">
        <v>35</v>
      </c>
      <c r="E142" s="1" t="s">
        <v>36</v>
      </c>
      <c r="F142" s="28" t="s">
        <v>804</v>
      </c>
      <c r="G142" s="1" t="s">
        <v>603</v>
      </c>
      <c r="H142" s="1"/>
      <c r="I142" s="11">
        <v>142</v>
      </c>
      <c r="J142" s="11" t="s">
        <v>688</v>
      </c>
      <c r="K142" s="27">
        <v>2.7307692307692308</v>
      </c>
      <c r="L142" s="1">
        <v>10</v>
      </c>
      <c r="M142" s="1">
        <v>5</v>
      </c>
      <c r="N142" s="1">
        <v>5</v>
      </c>
      <c r="O142" s="1">
        <v>5</v>
      </c>
      <c r="P142" s="1">
        <v>5</v>
      </c>
      <c r="Q142" s="1"/>
      <c r="R142" s="1"/>
      <c r="S142" s="1"/>
    </row>
    <row r="143" spans="1:19" x14ac:dyDescent="0.25">
      <c r="A143" s="21" t="s">
        <v>366</v>
      </c>
      <c r="B143" s="1" t="s">
        <v>6</v>
      </c>
      <c r="C143" s="1">
        <v>1033212</v>
      </c>
      <c r="D143" s="1" t="s">
        <v>14</v>
      </c>
      <c r="E143" s="1" t="s">
        <v>15</v>
      </c>
      <c r="F143" s="28" t="s">
        <v>734</v>
      </c>
      <c r="G143" s="1" t="s">
        <v>603</v>
      </c>
      <c r="H143" s="1"/>
      <c r="I143" s="11">
        <v>264</v>
      </c>
      <c r="J143" s="11" t="s">
        <v>688</v>
      </c>
      <c r="K143" s="27">
        <v>5.0769230769230766</v>
      </c>
      <c r="L143" s="1">
        <v>10</v>
      </c>
      <c r="M143" s="1">
        <v>0</v>
      </c>
      <c r="N143" s="1">
        <v>0</v>
      </c>
      <c r="O143" s="1">
        <v>0</v>
      </c>
      <c r="P143" s="1">
        <v>0</v>
      </c>
      <c r="Q143" s="1"/>
      <c r="R143" s="1"/>
      <c r="S143" s="1"/>
    </row>
    <row r="144" spans="1:19" x14ac:dyDescent="0.25">
      <c r="A144" s="21" t="s">
        <v>366</v>
      </c>
      <c r="B144" s="1" t="s">
        <v>6</v>
      </c>
      <c r="C144" s="1">
        <v>1033190</v>
      </c>
      <c r="D144" s="1" t="s">
        <v>37</v>
      </c>
      <c r="E144" s="1" t="s">
        <v>38</v>
      </c>
      <c r="F144" s="28" t="s">
        <v>733</v>
      </c>
      <c r="G144" s="1" t="s">
        <v>603</v>
      </c>
      <c r="H144" s="1"/>
      <c r="I144" s="11">
        <v>136</v>
      </c>
      <c r="J144" s="11" t="s">
        <v>688</v>
      </c>
      <c r="K144" s="27">
        <v>2.6153846153846154</v>
      </c>
      <c r="L144" s="1">
        <v>10</v>
      </c>
      <c r="M144" s="1">
        <v>5</v>
      </c>
      <c r="N144" s="1">
        <v>5</v>
      </c>
      <c r="O144" s="1">
        <v>5</v>
      </c>
      <c r="P144" s="1">
        <v>5</v>
      </c>
      <c r="Q144" s="1"/>
      <c r="R144" s="1"/>
      <c r="S144" s="1"/>
    </row>
    <row r="145" spans="1:19" x14ac:dyDescent="0.25">
      <c r="A145" s="21" t="s">
        <v>366</v>
      </c>
      <c r="B145" s="1" t="s">
        <v>6</v>
      </c>
      <c r="C145" s="1">
        <v>1326562</v>
      </c>
      <c r="D145" s="1" t="s">
        <v>44</v>
      </c>
      <c r="E145" s="1" t="s">
        <v>45</v>
      </c>
      <c r="F145" s="28" t="s">
        <v>805</v>
      </c>
      <c r="G145" s="1" t="s">
        <v>603</v>
      </c>
      <c r="H145" s="1"/>
      <c r="I145" s="11">
        <v>102</v>
      </c>
      <c r="J145" s="11"/>
      <c r="K145" s="27">
        <v>1.9615384615384615</v>
      </c>
      <c r="L145" s="1">
        <v>10</v>
      </c>
      <c r="M145" s="1">
        <v>0</v>
      </c>
      <c r="N145" s="1">
        <v>0</v>
      </c>
      <c r="O145" s="1">
        <v>0</v>
      </c>
      <c r="P145" s="1">
        <v>0</v>
      </c>
      <c r="Q145" s="1"/>
      <c r="R145" s="1"/>
      <c r="S145" s="1"/>
    </row>
    <row r="146" spans="1:19" x14ac:dyDescent="0.25">
      <c r="A146" s="21" t="s">
        <v>366</v>
      </c>
      <c r="B146" s="1" t="s">
        <v>6</v>
      </c>
      <c r="C146" s="21">
        <v>1215078</v>
      </c>
      <c r="D146" s="21" t="s">
        <v>9</v>
      </c>
      <c r="E146" s="21" t="s">
        <v>10</v>
      </c>
      <c r="F146" s="28" t="s">
        <v>750</v>
      </c>
      <c r="G146" s="1" t="s">
        <v>655</v>
      </c>
      <c r="H146" s="1"/>
      <c r="I146" s="11">
        <v>546</v>
      </c>
      <c r="J146" s="11" t="s">
        <v>688</v>
      </c>
      <c r="K146" s="27">
        <v>10.5</v>
      </c>
      <c r="L146" s="1">
        <v>50</v>
      </c>
      <c r="M146" s="1">
        <v>35</v>
      </c>
      <c r="N146" s="1">
        <v>35</v>
      </c>
      <c r="O146" s="1">
        <v>35</v>
      </c>
      <c r="P146" s="1">
        <v>25</v>
      </c>
      <c r="Q146" s="1"/>
      <c r="R146" s="1"/>
      <c r="S146" s="1"/>
    </row>
    <row r="147" spans="1:19" x14ac:dyDescent="0.25">
      <c r="A147" s="21" t="s">
        <v>366</v>
      </c>
      <c r="B147" s="1" t="s">
        <v>67</v>
      </c>
      <c r="C147" s="1">
        <v>1037420</v>
      </c>
      <c r="D147" s="1" t="s">
        <v>68</v>
      </c>
      <c r="E147" s="1" t="s">
        <v>69</v>
      </c>
      <c r="F147" s="28" t="s">
        <v>806</v>
      </c>
      <c r="G147" s="1" t="s">
        <v>613</v>
      </c>
      <c r="H147" s="1"/>
      <c r="I147" s="11">
        <v>14</v>
      </c>
      <c r="J147" s="11"/>
      <c r="K147" s="27">
        <v>0.26923076923076922</v>
      </c>
      <c r="L147" s="1">
        <v>2</v>
      </c>
      <c r="M147" s="1">
        <v>0</v>
      </c>
      <c r="N147" s="1">
        <v>0</v>
      </c>
      <c r="O147" s="1">
        <v>0</v>
      </c>
      <c r="P147" s="1">
        <v>0</v>
      </c>
      <c r="Q147" s="1"/>
      <c r="R147" s="1"/>
      <c r="S147" s="1"/>
    </row>
    <row r="148" spans="1:19" x14ac:dyDescent="0.25">
      <c r="A148" s="21" t="s">
        <v>366</v>
      </c>
      <c r="B148" s="1" t="s">
        <v>67</v>
      </c>
      <c r="C148" s="1">
        <v>1037412</v>
      </c>
      <c r="D148" s="1" t="s">
        <v>72</v>
      </c>
      <c r="E148" s="1" t="s">
        <v>73</v>
      </c>
      <c r="F148" s="28" t="s">
        <v>806</v>
      </c>
      <c r="G148" s="1" t="s">
        <v>614</v>
      </c>
      <c r="H148" s="1"/>
      <c r="I148" s="11">
        <v>44</v>
      </c>
      <c r="J148" s="11"/>
      <c r="K148" s="27">
        <v>0.84615384615384615</v>
      </c>
      <c r="L148" s="1">
        <v>5</v>
      </c>
      <c r="M148" s="1">
        <v>0</v>
      </c>
      <c r="N148" s="1">
        <v>0</v>
      </c>
      <c r="O148" s="1">
        <v>0</v>
      </c>
      <c r="P148" s="1">
        <v>0</v>
      </c>
      <c r="Q148" s="1"/>
      <c r="R148" s="1"/>
      <c r="S148" s="1"/>
    </row>
    <row r="149" spans="1:19" x14ac:dyDescent="0.25">
      <c r="A149" s="21" t="s">
        <v>366</v>
      </c>
      <c r="B149" s="1" t="s">
        <v>67</v>
      </c>
      <c r="C149" s="1">
        <v>1037404</v>
      </c>
      <c r="D149" s="1" t="s">
        <v>88</v>
      </c>
      <c r="E149" s="1" t="s">
        <v>89</v>
      </c>
      <c r="F149" s="28" t="s">
        <v>806</v>
      </c>
      <c r="G149" s="1" t="s">
        <v>615</v>
      </c>
      <c r="H149" s="1"/>
      <c r="I149" s="11">
        <v>25</v>
      </c>
      <c r="J149" s="11"/>
      <c r="K149" s="27">
        <v>0.48076923076923078</v>
      </c>
      <c r="L149" s="1">
        <v>5</v>
      </c>
      <c r="M149" s="1">
        <v>0</v>
      </c>
      <c r="N149" s="1">
        <v>0</v>
      </c>
      <c r="O149" s="1">
        <v>0</v>
      </c>
      <c r="P149" s="1">
        <v>0</v>
      </c>
      <c r="Q149" s="1"/>
      <c r="R149" s="1"/>
      <c r="S149" s="1"/>
    </row>
    <row r="150" spans="1:19" x14ac:dyDescent="0.25">
      <c r="A150" s="21" t="s">
        <v>366</v>
      </c>
      <c r="B150" s="1" t="s">
        <v>67</v>
      </c>
      <c r="C150" s="1">
        <v>1037528</v>
      </c>
      <c r="D150" s="1" t="s">
        <v>114</v>
      </c>
      <c r="E150" s="1" t="s">
        <v>115</v>
      </c>
      <c r="F150" s="28" t="s">
        <v>742</v>
      </c>
      <c r="G150" s="1" t="s">
        <v>617</v>
      </c>
      <c r="H150" s="1"/>
      <c r="I150" s="11">
        <v>12</v>
      </c>
      <c r="J150" s="11" t="s">
        <v>688</v>
      </c>
      <c r="K150" s="27">
        <v>0.23076923076923078</v>
      </c>
      <c r="L150" s="1">
        <v>2</v>
      </c>
      <c r="M150" s="1">
        <v>0</v>
      </c>
      <c r="N150" s="1">
        <v>0</v>
      </c>
      <c r="O150" s="1">
        <v>0</v>
      </c>
      <c r="P150" s="1">
        <v>2</v>
      </c>
      <c r="Q150" s="1"/>
      <c r="R150" s="1"/>
      <c r="S150" s="1"/>
    </row>
    <row r="151" spans="1:19" x14ac:dyDescent="0.25">
      <c r="A151" s="21" t="s">
        <v>366</v>
      </c>
      <c r="B151" s="1" t="s">
        <v>67</v>
      </c>
      <c r="C151" s="1">
        <v>1037510</v>
      </c>
      <c r="D151" s="1" t="s">
        <v>118</v>
      </c>
      <c r="E151" s="1" t="s">
        <v>119</v>
      </c>
      <c r="F151" s="28" t="s">
        <v>742</v>
      </c>
      <c r="G151" s="1" t="s">
        <v>614</v>
      </c>
      <c r="H151" s="1"/>
      <c r="I151" s="11">
        <v>35</v>
      </c>
      <c r="J151" s="11" t="s">
        <v>688</v>
      </c>
      <c r="K151" s="27">
        <v>0.67307692307692313</v>
      </c>
      <c r="L151" s="1">
        <v>5</v>
      </c>
      <c r="M151" s="1">
        <v>7</v>
      </c>
      <c r="N151" s="1">
        <v>7</v>
      </c>
      <c r="O151" s="1">
        <v>7</v>
      </c>
      <c r="P151" s="1">
        <v>7</v>
      </c>
      <c r="Q151" s="1"/>
      <c r="R151" s="1"/>
      <c r="S151" s="1"/>
    </row>
    <row r="152" spans="1:19" x14ac:dyDescent="0.25">
      <c r="A152" s="21" t="s">
        <v>366</v>
      </c>
      <c r="B152" s="1" t="s">
        <v>67</v>
      </c>
      <c r="C152" s="1">
        <v>1037501</v>
      </c>
      <c r="D152" s="1" t="s">
        <v>124</v>
      </c>
      <c r="E152" s="1" t="s">
        <v>125</v>
      </c>
      <c r="F152" s="28" t="s">
        <v>742</v>
      </c>
      <c r="G152" s="1" t="s">
        <v>615</v>
      </c>
      <c r="H152" s="1"/>
      <c r="I152" s="11">
        <v>45</v>
      </c>
      <c r="J152" s="11" t="s">
        <v>688</v>
      </c>
      <c r="K152" s="27">
        <v>0.86538461538461542</v>
      </c>
      <c r="L152" s="1">
        <v>5</v>
      </c>
      <c r="M152" s="1">
        <v>0</v>
      </c>
      <c r="N152" s="1">
        <v>0</v>
      </c>
      <c r="O152" s="1">
        <v>0</v>
      </c>
      <c r="P152" s="1">
        <v>0</v>
      </c>
      <c r="Q152" s="1"/>
      <c r="R152" s="1"/>
      <c r="S152" s="1"/>
    </row>
    <row r="153" spans="1:19" x14ac:dyDescent="0.25">
      <c r="A153" s="21" t="s">
        <v>366</v>
      </c>
      <c r="B153" s="1" t="s">
        <v>67</v>
      </c>
      <c r="C153" s="1">
        <v>1037455</v>
      </c>
      <c r="D153" s="1" t="s">
        <v>130</v>
      </c>
      <c r="E153" s="1" t="s">
        <v>131</v>
      </c>
      <c r="F153" s="28" t="s">
        <v>769</v>
      </c>
      <c r="G153" s="1" t="s">
        <v>598</v>
      </c>
      <c r="H153" s="1"/>
      <c r="I153" s="11">
        <v>0</v>
      </c>
      <c r="J153" s="11" t="s">
        <v>688</v>
      </c>
      <c r="K153" s="11">
        <v>0</v>
      </c>
      <c r="L153" s="1">
        <v>2</v>
      </c>
      <c r="M153" s="1">
        <v>20</v>
      </c>
      <c r="N153" s="1">
        <v>20</v>
      </c>
      <c r="O153" s="1">
        <v>20</v>
      </c>
      <c r="P153" s="1">
        <v>10</v>
      </c>
      <c r="Q153" s="1"/>
      <c r="R153" s="1"/>
      <c r="S153" s="1"/>
    </row>
    <row r="154" spans="1:19" x14ac:dyDescent="0.25">
      <c r="A154" s="21" t="s">
        <v>366</v>
      </c>
      <c r="B154" s="1" t="s">
        <v>67</v>
      </c>
      <c r="C154" s="1">
        <v>1037447</v>
      </c>
      <c r="D154" s="1" t="s">
        <v>132</v>
      </c>
      <c r="E154" s="1" t="s">
        <v>133</v>
      </c>
      <c r="F154" s="28" t="s">
        <v>769</v>
      </c>
      <c r="G154" s="1" t="s">
        <v>612</v>
      </c>
      <c r="H154" s="1"/>
      <c r="I154" s="11">
        <v>93</v>
      </c>
      <c r="J154" s="11" t="s">
        <v>688</v>
      </c>
      <c r="K154" s="27">
        <v>1.7884615384615385</v>
      </c>
      <c r="L154" s="1">
        <v>5</v>
      </c>
      <c r="M154" s="1">
        <v>5</v>
      </c>
      <c r="N154" s="1">
        <v>5</v>
      </c>
      <c r="O154" s="1">
        <v>5</v>
      </c>
      <c r="P154" s="1">
        <v>5</v>
      </c>
      <c r="Q154" s="1"/>
      <c r="R154" s="1"/>
      <c r="S154" s="1"/>
    </row>
    <row r="155" spans="1:19" x14ac:dyDescent="0.25">
      <c r="A155" s="21" t="s">
        <v>366</v>
      </c>
      <c r="B155" s="1" t="s">
        <v>67</v>
      </c>
      <c r="C155" s="1">
        <v>1037439</v>
      </c>
      <c r="D155" s="1" t="s">
        <v>140</v>
      </c>
      <c r="E155" s="1" t="s">
        <v>141</v>
      </c>
      <c r="F155" s="28" t="s">
        <v>769</v>
      </c>
      <c r="G155" s="1" t="s">
        <v>628</v>
      </c>
      <c r="H155" s="1"/>
      <c r="I155" s="11">
        <v>93</v>
      </c>
      <c r="J155" s="11" t="s">
        <v>688</v>
      </c>
      <c r="K155" s="27">
        <v>1.7884615384615385</v>
      </c>
      <c r="L155" s="1">
        <v>5</v>
      </c>
      <c r="M155" s="1">
        <v>0</v>
      </c>
      <c r="N155" s="1">
        <v>0</v>
      </c>
      <c r="O155" s="1">
        <v>0</v>
      </c>
      <c r="P155" s="1">
        <v>0</v>
      </c>
      <c r="Q155" s="1"/>
      <c r="R155" s="1"/>
      <c r="S155" s="1"/>
    </row>
    <row r="156" spans="1:19" x14ac:dyDescent="0.25">
      <c r="A156" s="21" t="s">
        <v>366</v>
      </c>
      <c r="B156" s="1" t="s">
        <v>67</v>
      </c>
      <c r="C156" s="1">
        <v>1397028</v>
      </c>
      <c r="D156" s="1" t="s">
        <v>146</v>
      </c>
      <c r="E156" s="1" t="s">
        <v>147</v>
      </c>
      <c r="F156" s="28" t="s">
        <v>807</v>
      </c>
      <c r="G156" s="1" t="s">
        <v>607</v>
      </c>
      <c r="H156" s="1"/>
      <c r="I156" s="11">
        <v>108</v>
      </c>
      <c r="J156" s="11"/>
      <c r="K156" s="27">
        <v>2.0769230769230771</v>
      </c>
      <c r="L156" s="1">
        <v>5</v>
      </c>
      <c r="M156" s="1">
        <v>0</v>
      </c>
      <c r="N156" s="1">
        <v>0</v>
      </c>
      <c r="O156" s="1">
        <v>0</v>
      </c>
      <c r="P156" s="1">
        <v>0</v>
      </c>
      <c r="Q156" s="1"/>
      <c r="R156" s="1"/>
      <c r="S156" s="1"/>
    </row>
    <row r="157" spans="1:19" x14ac:dyDescent="0.25">
      <c r="A157" s="21" t="s">
        <v>366</v>
      </c>
      <c r="B157" s="1" t="s">
        <v>67</v>
      </c>
      <c r="C157" s="1">
        <v>1397036</v>
      </c>
      <c r="D157" s="1" t="s">
        <v>152</v>
      </c>
      <c r="E157" s="1" t="s">
        <v>153</v>
      </c>
      <c r="F157" s="28" t="s">
        <v>807</v>
      </c>
      <c r="G157" s="1" t="s">
        <v>620</v>
      </c>
      <c r="H157" s="1"/>
      <c r="I157" s="11">
        <v>52</v>
      </c>
      <c r="J157" s="11"/>
      <c r="K157" s="27">
        <v>1</v>
      </c>
      <c r="L157" s="1">
        <v>5</v>
      </c>
      <c r="M157" s="1">
        <v>0</v>
      </c>
      <c r="N157" s="1">
        <v>0</v>
      </c>
      <c r="O157" s="1">
        <v>0</v>
      </c>
      <c r="P157" s="1">
        <v>0</v>
      </c>
      <c r="Q157" s="1"/>
      <c r="R157" s="1"/>
      <c r="S157" s="1"/>
    </row>
    <row r="158" spans="1:19" x14ac:dyDescent="0.25">
      <c r="A158" s="21" t="s">
        <v>366</v>
      </c>
      <c r="B158" s="1" t="s">
        <v>67</v>
      </c>
      <c r="C158" s="1">
        <v>1397044</v>
      </c>
      <c r="D158" s="1" t="s">
        <v>156</v>
      </c>
      <c r="E158" s="1" t="s">
        <v>157</v>
      </c>
      <c r="F158" s="28" t="s">
        <v>807</v>
      </c>
      <c r="G158" s="1" t="s">
        <v>634</v>
      </c>
      <c r="H158" s="1"/>
      <c r="I158" s="11">
        <v>16</v>
      </c>
      <c r="J158" s="11"/>
      <c r="K158" s="27">
        <v>0.30769230769230771</v>
      </c>
      <c r="L158" s="1">
        <v>2</v>
      </c>
      <c r="M158" s="1">
        <v>0</v>
      </c>
      <c r="N158" s="1">
        <v>0</v>
      </c>
      <c r="O158" s="1">
        <v>0</v>
      </c>
      <c r="P158" s="1">
        <v>0</v>
      </c>
      <c r="Q158" s="1"/>
      <c r="R158" s="1"/>
      <c r="S158" s="1"/>
    </row>
    <row r="159" spans="1:19" x14ac:dyDescent="0.25">
      <c r="A159" s="21" t="s">
        <v>366</v>
      </c>
      <c r="B159" s="1" t="s">
        <v>67</v>
      </c>
      <c r="C159" s="1">
        <v>1397133</v>
      </c>
      <c r="D159" s="1" t="s">
        <v>176</v>
      </c>
      <c r="E159" s="1" t="s">
        <v>177</v>
      </c>
      <c r="F159" s="28" t="s">
        <v>743</v>
      </c>
      <c r="G159" s="1" t="s">
        <v>610</v>
      </c>
      <c r="H159" s="1"/>
      <c r="I159" s="11">
        <v>23</v>
      </c>
      <c r="J159" s="11" t="s">
        <v>688</v>
      </c>
      <c r="K159" s="27">
        <v>0.44230769230769229</v>
      </c>
      <c r="L159" s="1">
        <v>1</v>
      </c>
      <c r="M159" s="1">
        <v>0</v>
      </c>
      <c r="N159" s="1">
        <v>0</v>
      </c>
      <c r="O159" s="1">
        <v>0</v>
      </c>
      <c r="P159" s="1">
        <v>0</v>
      </c>
      <c r="Q159" s="1"/>
      <c r="R159" s="1"/>
      <c r="S159" s="1"/>
    </row>
    <row r="160" spans="1:19" x14ac:dyDescent="0.25">
      <c r="A160" s="21" t="s">
        <v>366</v>
      </c>
      <c r="B160" s="1" t="s">
        <v>67</v>
      </c>
      <c r="C160" s="1">
        <v>1397141</v>
      </c>
      <c r="D160" s="1" t="s">
        <v>196</v>
      </c>
      <c r="E160" s="1" t="s">
        <v>197</v>
      </c>
      <c r="F160" s="28" t="s">
        <v>743</v>
      </c>
      <c r="G160" s="1" t="s">
        <v>614</v>
      </c>
      <c r="H160" s="1"/>
      <c r="I160" s="11">
        <v>19</v>
      </c>
      <c r="J160" s="11"/>
      <c r="K160" s="27">
        <v>0.36538461538461536</v>
      </c>
      <c r="L160" s="1">
        <v>1</v>
      </c>
      <c r="M160" s="1">
        <v>0</v>
      </c>
      <c r="N160" s="1">
        <v>0</v>
      </c>
      <c r="O160" s="1">
        <v>0</v>
      </c>
      <c r="P160" s="1">
        <v>0</v>
      </c>
      <c r="Q160" s="1"/>
      <c r="R160" s="1"/>
      <c r="S160" s="1"/>
    </row>
    <row r="161" spans="1:19" x14ac:dyDescent="0.25">
      <c r="A161" s="21" t="s">
        <v>366</v>
      </c>
      <c r="B161" s="1" t="s">
        <v>67</v>
      </c>
      <c r="C161" s="1">
        <v>1397150</v>
      </c>
      <c r="D161" s="1" t="s">
        <v>198</v>
      </c>
      <c r="E161" s="1" t="s">
        <v>199</v>
      </c>
      <c r="F161" s="28" t="s">
        <v>743</v>
      </c>
      <c r="G161" s="1" t="s">
        <v>617</v>
      </c>
      <c r="H161" s="1"/>
      <c r="I161" s="11">
        <v>0</v>
      </c>
      <c r="J161" s="11" t="s">
        <v>688</v>
      </c>
      <c r="K161" s="11">
        <v>0</v>
      </c>
      <c r="L161" s="1">
        <v>1</v>
      </c>
      <c r="M161" s="1">
        <v>0</v>
      </c>
      <c r="N161" s="1">
        <v>0</v>
      </c>
      <c r="O161" s="1">
        <v>0</v>
      </c>
      <c r="P161" s="1">
        <v>0</v>
      </c>
      <c r="Q161" s="1"/>
      <c r="R161" s="1"/>
      <c r="S161" s="1"/>
    </row>
    <row r="162" spans="1:19" x14ac:dyDescent="0.25">
      <c r="A162" s="21" t="s">
        <v>366</v>
      </c>
      <c r="B162" s="1" t="s">
        <v>67</v>
      </c>
      <c r="C162" s="1">
        <v>1372688</v>
      </c>
      <c r="D162" s="1" t="s">
        <v>206</v>
      </c>
      <c r="E162" s="1" t="s">
        <v>207</v>
      </c>
      <c r="F162" s="28" t="s">
        <v>740</v>
      </c>
      <c r="G162" s="1" t="s">
        <v>637</v>
      </c>
      <c r="H162" s="1"/>
      <c r="I162" s="11">
        <v>17</v>
      </c>
      <c r="J162" s="11" t="s">
        <v>688</v>
      </c>
      <c r="K162" s="27">
        <v>0.32692307692307693</v>
      </c>
      <c r="L162" s="1">
        <v>5</v>
      </c>
      <c r="M162" s="1">
        <v>0</v>
      </c>
      <c r="N162" s="1">
        <v>0</v>
      </c>
      <c r="O162" s="1">
        <v>0</v>
      </c>
      <c r="P162" s="1">
        <v>0</v>
      </c>
      <c r="Q162" s="1"/>
      <c r="R162" s="1"/>
      <c r="S162" s="1"/>
    </row>
    <row r="163" spans="1:19" x14ac:dyDescent="0.25">
      <c r="A163" s="21" t="s">
        <v>366</v>
      </c>
      <c r="B163" s="1" t="s">
        <v>67</v>
      </c>
      <c r="C163" s="1">
        <v>1372696</v>
      </c>
      <c r="D163" s="1" t="s">
        <v>214</v>
      </c>
      <c r="E163" s="1" t="s">
        <v>215</v>
      </c>
      <c r="F163" s="28" t="s">
        <v>740</v>
      </c>
      <c r="G163" s="1" t="s">
        <v>610</v>
      </c>
      <c r="H163" s="1"/>
      <c r="I163" s="11">
        <v>27</v>
      </c>
      <c r="J163" s="11"/>
      <c r="K163" s="27">
        <v>0.51923076923076927</v>
      </c>
      <c r="L163" s="1">
        <v>5</v>
      </c>
      <c r="M163" s="1">
        <v>0</v>
      </c>
      <c r="N163" s="1">
        <v>0</v>
      </c>
      <c r="O163" s="1">
        <v>0</v>
      </c>
      <c r="P163" s="1">
        <v>0</v>
      </c>
      <c r="Q163" s="1"/>
      <c r="R163" s="1"/>
      <c r="S163" s="1"/>
    </row>
    <row r="164" spans="1:19" x14ac:dyDescent="0.25">
      <c r="A164" s="21" t="s">
        <v>366</v>
      </c>
      <c r="B164" s="1" t="s">
        <v>67</v>
      </c>
      <c r="C164" s="1">
        <v>1372700</v>
      </c>
      <c r="D164" s="1" t="s">
        <v>218</v>
      </c>
      <c r="E164" s="1" t="s">
        <v>219</v>
      </c>
      <c r="F164" s="28" t="s">
        <v>740</v>
      </c>
      <c r="G164" s="1" t="s">
        <v>606</v>
      </c>
      <c r="H164" s="1"/>
      <c r="I164" s="11">
        <v>16</v>
      </c>
      <c r="J164" s="11"/>
      <c r="K164" s="27">
        <v>0.30769230769230771</v>
      </c>
      <c r="L164" s="1">
        <v>2</v>
      </c>
      <c r="M164" s="1">
        <v>0</v>
      </c>
      <c r="N164" s="1">
        <v>0</v>
      </c>
      <c r="O164" s="1">
        <v>0</v>
      </c>
      <c r="P164" s="1">
        <v>0</v>
      </c>
      <c r="Q164" s="1"/>
      <c r="R164" s="1"/>
      <c r="S164" s="1"/>
    </row>
    <row r="165" spans="1:19" x14ac:dyDescent="0.25">
      <c r="A165" s="21" t="s">
        <v>366</v>
      </c>
      <c r="B165" s="1" t="s">
        <v>67</v>
      </c>
      <c r="C165" s="1">
        <v>1053272</v>
      </c>
      <c r="D165" s="1" t="s">
        <v>220</v>
      </c>
      <c r="E165" s="1" t="s">
        <v>221</v>
      </c>
      <c r="F165" s="28" t="s">
        <v>808</v>
      </c>
      <c r="G165" s="1" t="s">
        <v>614</v>
      </c>
      <c r="H165" s="1"/>
      <c r="I165" s="11">
        <v>37</v>
      </c>
      <c r="J165" s="11"/>
      <c r="K165" s="27">
        <v>0.71153846153846156</v>
      </c>
      <c r="L165" s="1">
        <v>5</v>
      </c>
      <c r="M165" s="1">
        <v>0</v>
      </c>
      <c r="N165" s="1">
        <v>0</v>
      </c>
      <c r="O165" s="1">
        <v>0</v>
      </c>
      <c r="P165" s="1">
        <v>0</v>
      </c>
      <c r="Q165" s="1"/>
      <c r="R165" s="1"/>
      <c r="S165" s="1"/>
    </row>
    <row r="166" spans="1:19" x14ac:dyDescent="0.25">
      <c r="A166" s="21" t="s">
        <v>366</v>
      </c>
      <c r="B166" s="1" t="s">
        <v>67</v>
      </c>
      <c r="C166" s="1">
        <v>1326686</v>
      </c>
      <c r="D166" s="1" t="s">
        <v>232</v>
      </c>
      <c r="E166" s="1" t="s">
        <v>233</v>
      </c>
      <c r="F166" s="28" t="s">
        <v>809</v>
      </c>
      <c r="G166" s="1" t="s">
        <v>635</v>
      </c>
      <c r="H166" s="1"/>
      <c r="I166" s="11">
        <v>105</v>
      </c>
      <c r="J166" s="11"/>
      <c r="K166" s="27">
        <v>2.0192307692307692</v>
      </c>
      <c r="L166" s="1">
        <v>5</v>
      </c>
      <c r="M166" s="1">
        <v>2</v>
      </c>
      <c r="N166" s="1">
        <v>2</v>
      </c>
      <c r="O166" s="1">
        <v>2</v>
      </c>
      <c r="P166" s="1">
        <v>2</v>
      </c>
      <c r="Q166" s="1"/>
      <c r="R166" s="1"/>
      <c r="S166" s="1"/>
    </row>
    <row r="167" spans="1:19" x14ac:dyDescent="0.25">
      <c r="A167" s="21" t="s">
        <v>366</v>
      </c>
      <c r="B167" s="1" t="s">
        <v>67</v>
      </c>
      <c r="C167" s="1">
        <v>1033247</v>
      </c>
      <c r="D167" s="1" t="s">
        <v>238</v>
      </c>
      <c r="E167" s="1" t="s">
        <v>239</v>
      </c>
      <c r="F167" s="28" t="s">
        <v>725</v>
      </c>
      <c r="G167" s="1" t="s">
        <v>645</v>
      </c>
      <c r="H167" s="1"/>
      <c r="I167" s="11">
        <v>9</v>
      </c>
      <c r="J167" s="11" t="s">
        <v>688</v>
      </c>
      <c r="K167" s="27">
        <v>0.17307692307692307</v>
      </c>
      <c r="L167" s="1">
        <v>2</v>
      </c>
      <c r="M167" s="1">
        <v>3</v>
      </c>
      <c r="N167" s="1">
        <v>3</v>
      </c>
      <c r="O167" s="1">
        <v>3</v>
      </c>
      <c r="P167" s="1">
        <v>2</v>
      </c>
      <c r="Q167" s="1"/>
      <c r="R167" s="1"/>
      <c r="S167" s="1"/>
    </row>
    <row r="168" spans="1:19" x14ac:dyDescent="0.25">
      <c r="A168" s="21" t="s">
        <v>366</v>
      </c>
      <c r="B168" s="1" t="s">
        <v>67</v>
      </c>
      <c r="C168" s="1">
        <v>1033239</v>
      </c>
      <c r="D168" s="1" t="s">
        <v>252</v>
      </c>
      <c r="E168" s="1" t="s">
        <v>253</v>
      </c>
      <c r="F168" s="28" t="s">
        <v>725</v>
      </c>
      <c r="G168" s="1" t="s">
        <v>646</v>
      </c>
      <c r="H168" s="1"/>
      <c r="I168" s="11">
        <v>20</v>
      </c>
      <c r="J168" s="11" t="s">
        <v>688</v>
      </c>
      <c r="K168" s="27">
        <v>0.38461538461538464</v>
      </c>
      <c r="L168" s="1">
        <v>2</v>
      </c>
      <c r="M168" s="1">
        <v>6</v>
      </c>
      <c r="N168" s="1">
        <v>6</v>
      </c>
      <c r="O168" s="1">
        <v>6</v>
      </c>
      <c r="P168" s="1">
        <v>6</v>
      </c>
      <c r="Q168" s="1"/>
      <c r="R168" s="1"/>
      <c r="S168" s="1"/>
    </row>
    <row r="169" spans="1:19" x14ac:dyDescent="0.25">
      <c r="A169" s="21" t="s">
        <v>366</v>
      </c>
      <c r="B169" s="1" t="s">
        <v>67</v>
      </c>
      <c r="C169" s="1">
        <v>1033220</v>
      </c>
      <c r="D169" s="1" t="s">
        <v>274</v>
      </c>
      <c r="E169" s="1" t="s">
        <v>275</v>
      </c>
      <c r="F169" s="28" t="s">
        <v>725</v>
      </c>
      <c r="G169" s="1" t="s">
        <v>617</v>
      </c>
      <c r="H169" s="1"/>
      <c r="I169" s="11">
        <v>65</v>
      </c>
      <c r="J169" s="11" t="s">
        <v>688</v>
      </c>
      <c r="K169" s="27">
        <v>1.25</v>
      </c>
      <c r="L169" s="1">
        <v>5</v>
      </c>
      <c r="M169" s="1">
        <v>0</v>
      </c>
      <c r="N169" s="1">
        <v>0</v>
      </c>
      <c r="O169" s="1">
        <v>0</v>
      </c>
      <c r="P169" s="1">
        <v>5</v>
      </c>
      <c r="Q169" s="1"/>
      <c r="R169" s="1"/>
      <c r="S169" s="1"/>
    </row>
    <row r="170" spans="1:19" x14ac:dyDescent="0.25">
      <c r="A170" s="21" t="s">
        <v>366</v>
      </c>
      <c r="B170" s="1" t="s">
        <v>67</v>
      </c>
      <c r="C170" s="1">
        <v>1033271</v>
      </c>
      <c r="D170" s="1" t="s">
        <v>280</v>
      </c>
      <c r="E170" s="1" t="s">
        <v>281</v>
      </c>
      <c r="F170" s="28" t="s">
        <v>810</v>
      </c>
      <c r="G170" s="1" t="s">
        <v>649</v>
      </c>
      <c r="H170" s="1"/>
      <c r="I170" s="11">
        <v>5</v>
      </c>
      <c r="J170" s="11"/>
      <c r="K170" s="27">
        <v>9.6153846153846159E-2</v>
      </c>
      <c r="L170" s="1">
        <v>1</v>
      </c>
      <c r="M170" s="1">
        <v>8</v>
      </c>
      <c r="N170" s="1">
        <v>8</v>
      </c>
      <c r="O170" s="1">
        <v>8</v>
      </c>
      <c r="P170" s="1">
        <v>10</v>
      </c>
      <c r="Q170" s="1"/>
      <c r="R170" s="1"/>
      <c r="S170" s="1"/>
    </row>
    <row r="171" spans="1:19" x14ac:dyDescent="0.25">
      <c r="A171" s="21" t="s">
        <v>366</v>
      </c>
      <c r="B171" s="1" t="s">
        <v>67</v>
      </c>
      <c r="C171" s="1">
        <v>1033263</v>
      </c>
      <c r="D171" s="1" t="s">
        <v>298</v>
      </c>
      <c r="E171" s="1" t="s">
        <v>299</v>
      </c>
      <c r="F171" s="28" t="s">
        <v>810</v>
      </c>
      <c r="G171" s="1" t="s">
        <v>650</v>
      </c>
      <c r="H171" s="1"/>
      <c r="I171" s="11">
        <v>3</v>
      </c>
      <c r="J171" s="11"/>
      <c r="K171" s="27">
        <v>5.7692307692307696E-2</v>
      </c>
      <c r="L171" s="1">
        <v>2</v>
      </c>
      <c r="M171" s="1">
        <v>0</v>
      </c>
      <c r="N171" s="1">
        <v>0</v>
      </c>
      <c r="O171" s="1">
        <v>0</v>
      </c>
      <c r="P171" s="1">
        <v>0</v>
      </c>
      <c r="Q171" s="1"/>
      <c r="R171" s="1"/>
      <c r="S171" s="1"/>
    </row>
    <row r="172" spans="1:19" x14ac:dyDescent="0.25">
      <c r="A172" s="21" t="s">
        <v>366</v>
      </c>
      <c r="B172" s="1" t="s">
        <v>67</v>
      </c>
      <c r="C172" s="1">
        <v>1033255</v>
      </c>
      <c r="D172" s="1" t="s">
        <v>306</v>
      </c>
      <c r="E172" s="1" t="s">
        <v>307</v>
      </c>
      <c r="F172" s="28" t="s">
        <v>810</v>
      </c>
      <c r="G172" s="1" t="s">
        <v>646</v>
      </c>
      <c r="H172" s="1"/>
      <c r="I172" s="11">
        <v>8</v>
      </c>
      <c r="J172" s="11"/>
      <c r="K172" s="27">
        <v>0.15384615384615385</v>
      </c>
      <c r="L172" s="1">
        <v>2</v>
      </c>
      <c r="M172" s="1">
        <v>1</v>
      </c>
      <c r="N172" s="1">
        <v>1</v>
      </c>
      <c r="O172" s="1">
        <v>1</v>
      </c>
      <c r="P172" s="1">
        <v>1</v>
      </c>
      <c r="Q172" s="1"/>
      <c r="R172" s="1"/>
      <c r="S172" s="1"/>
    </row>
    <row r="173" spans="1:19" x14ac:dyDescent="0.25">
      <c r="A173" s="21" t="s">
        <v>366</v>
      </c>
      <c r="B173" s="1" t="s">
        <v>67</v>
      </c>
      <c r="C173" s="1">
        <v>1033301</v>
      </c>
      <c r="D173" s="1" t="s">
        <v>321</v>
      </c>
      <c r="E173" s="1" t="s">
        <v>322</v>
      </c>
      <c r="F173" s="28" t="s">
        <v>811</v>
      </c>
      <c r="G173" s="1" t="s">
        <v>652</v>
      </c>
      <c r="H173" s="1"/>
      <c r="I173" s="11">
        <v>14</v>
      </c>
      <c r="J173" s="11" t="s">
        <v>688</v>
      </c>
      <c r="K173" s="27">
        <v>0.26923076923076922</v>
      </c>
      <c r="L173" s="1">
        <v>2</v>
      </c>
      <c r="M173" s="1">
        <v>2</v>
      </c>
      <c r="N173" s="1">
        <v>2</v>
      </c>
      <c r="O173" s="1">
        <v>2</v>
      </c>
      <c r="P173" s="1">
        <v>4</v>
      </c>
      <c r="Q173" s="1"/>
      <c r="R173" s="1"/>
      <c r="S173" s="1"/>
    </row>
    <row r="174" spans="1:19" x14ac:dyDescent="0.25">
      <c r="A174" s="21" t="s">
        <v>366</v>
      </c>
      <c r="B174" s="1" t="s">
        <v>67</v>
      </c>
      <c r="C174" s="1">
        <v>1033298</v>
      </c>
      <c r="D174" s="1" t="s">
        <v>335</v>
      </c>
      <c r="E174" s="1" t="s">
        <v>336</v>
      </c>
      <c r="F174" s="28" t="s">
        <v>811</v>
      </c>
      <c r="G174" s="1" t="s">
        <v>653</v>
      </c>
      <c r="H174" s="1"/>
      <c r="I174" s="11">
        <v>42</v>
      </c>
      <c r="J174" s="11" t="s">
        <v>688</v>
      </c>
      <c r="K174" s="27">
        <v>0.80769230769230771</v>
      </c>
      <c r="L174" s="1">
        <v>5</v>
      </c>
      <c r="M174" s="1">
        <v>2</v>
      </c>
      <c r="N174" s="1">
        <v>2</v>
      </c>
      <c r="O174" s="1">
        <v>2</v>
      </c>
      <c r="P174" s="1">
        <v>3</v>
      </c>
      <c r="Q174" s="1"/>
      <c r="R174" s="1"/>
      <c r="S174" s="1"/>
    </row>
    <row r="175" spans="1:19" x14ac:dyDescent="0.25">
      <c r="A175" s="21" t="s">
        <v>366</v>
      </c>
      <c r="B175" s="1" t="s">
        <v>67</v>
      </c>
      <c r="C175" s="1">
        <v>1033280</v>
      </c>
      <c r="D175" s="1" t="s">
        <v>341</v>
      </c>
      <c r="E175" s="1" t="s">
        <v>342</v>
      </c>
      <c r="F175" s="28" t="s">
        <v>811</v>
      </c>
      <c r="G175" s="1" t="s">
        <v>615</v>
      </c>
      <c r="H175" s="1"/>
      <c r="I175" s="11">
        <v>26</v>
      </c>
      <c r="J175" s="11" t="s">
        <v>688</v>
      </c>
      <c r="K175" s="27">
        <v>0.5</v>
      </c>
      <c r="L175" s="1">
        <v>5</v>
      </c>
      <c r="M175" s="1">
        <v>2</v>
      </c>
      <c r="N175" s="1">
        <v>0</v>
      </c>
      <c r="O175" s="1">
        <v>0</v>
      </c>
      <c r="P175" s="1">
        <v>0</v>
      </c>
      <c r="Q175" s="1"/>
      <c r="R175" s="1"/>
      <c r="S175" s="1"/>
    </row>
    <row r="176" spans="1:19" x14ac:dyDescent="0.25">
      <c r="A176" s="21" t="s">
        <v>366</v>
      </c>
      <c r="B176" s="1" t="s">
        <v>23</v>
      </c>
      <c r="C176" s="1">
        <v>1372386</v>
      </c>
      <c r="D176" s="1" t="s">
        <v>24</v>
      </c>
      <c r="E176" s="1" t="s">
        <v>25</v>
      </c>
      <c r="F176" s="28" t="s">
        <v>747</v>
      </c>
      <c r="G176" s="1" t="s">
        <v>627</v>
      </c>
      <c r="H176" s="1"/>
      <c r="I176" s="11">
        <v>13</v>
      </c>
      <c r="J176" s="11" t="s">
        <v>688</v>
      </c>
      <c r="K176" s="27">
        <v>0.25</v>
      </c>
      <c r="L176" s="1">
        <v>5</v>
      </c>
      <c r="M176" s="1">
        <v>30</v>
      </c>
      <c r="N176" s="1">
        <v>30</v>
      </c>
      <c r="O176" s="1">
        <v>30</v>
      </c>
      <c r="P176" s="1">
        <v>30</v>
      </c>
      <c r="Q176" s="1"/>
      <c r="R176" s="1"/>
      <c r="S176" s="1"/>
    </row>
    <row r="177" spans="1:19" x14ac:dyDescent="0.25">
      <c r="A177" s="21" t="s">
        <v>366</v>
      </c>
      <c r="B177" s="1" t="s">
        <v>23</v>
      </c>
      <c r="C177" s="1">
        <v>1372394</v>
      </c>
      <c r="D177" s="1" t="s">
        <v>78</v>
      </c>
      <c r="E177" s="1" t="s">
        <v>79</v>
      </c>
      <c r="F177" s="28" t="s">
        <v>747</v>
      </c>
      <c r="G177" s="1" t="s">
        <v>627</v>
      </c>
      <c r="H177" s="1"/>
      <c r="I177" s="11">
        <v>2</v>
      </c>
      <c r="J177" s="11" t="s">
        <v>688</v>
      </c>
      <c r="K177" s="27">
        <v>3.8461538461538464E-2</v>
      </c>
      <c r="L177" s="1">
        <v>5</v>
      </c>
      <c r="M177" s="1">
        <v>30</v>
      </c>
      <c r="N177" s="1">
        <v>30</v>
      </c>
      <c r="O177" s="1">
        <v>30</v>
      </c>
      <c r="P177" s="1">
        <v>30</v>
      </c>
      <c r="Q177" s="1"/>
      <c r="R177" s="1"/>
      <c r="S177" s="1"/>
    </row>
    <row r="178" spans="1:19" x14ac:dyDescent="0.25">
      <c r="A178" s="21" t="s">
        <v>366</v>
      </c>
      <c r="B178" s="1" t="s">
        <v>23</v>
      </c>
      <c r="C178" s="1">
        <v>1372408</v>
      </c>
      <c r="D178" s="1" t="s">
        <v>166</v>
      </c>
      <c r="E178" s="1" t="s">
        <v>167</v>
      </c>
      <c r="F178" s="28" t="s">
        <v>736</v>
      </c>
      <c r="G178" s="1" t="s">
        <v>603</v>
      </c>
      <c r="H178" s="1"/>
      <c r="I178" s="11">
        <v>116</v>
      </c>
      <c r="J178" s="11" t="s">
        <v>688</v>
      </c>
      <c r="K178" s="27">
        <v>2.2307692307692308</v>
      </c>
      <c r="L178" s="1">
        <v>5</v>
      </c>
      <c r="M178" s="1">
        <v>5</v>
      </c>
      <c r="N178" s="1">
        <v>5</v>
      </c>
      <c r="O178" s="1">
        <v>5</v>
      </c>
      <c r="P178" s="1">
        <v>5</v>
      </c>
      <c r="Q178" s="1"/>
      <c r="R178" s="1"/>
      <c r="S178" s="1"/>
    </row>
    <row r="179" spans="1:19" x14ac:dyDescent="0.25">
      <c r="A179" s="21" t="s">
        <v>366</v>
      </c>
      <c r="B179" s="1" t="s">
        <v>23</v>
      </c>
      <c r="C179" s="1">
        <v>1372416</v>
      </c>
      <c r="D179" s="1" t="s">
        <v>184</v>
      </c>
      <c r="E179" s="1" t="s">
        <v>185</v>
      </c>
      <c r="F179" s="28" t="s">
        <v>736</v>
      </c>
      <c r="G179" s="1" t="s">
        <v>612</v>
      </c>
      <c r="H179" s="1"/>
      <c r="I179" s="11">
        <v>11</v>
      </c>
      <c r="J179" s="11"/>
      <c r="K179" s="27">
        <v>0.21153846153846154</v>
      </c>
      <c r="L179" s="1">
        <v>5</v>
      </c>
      <c r="M179" s="1">
        <v>5</v>
      </c>
      <c r="N179" s="1">
        <v>5</v>
      </c>
      <c r="O179" s="1">
        <v>5</v>
      </c>
      <c r="P179" s="1">
        <v>5</v>
      </c>
      <c r="Q179" s="1"/>
      <c r="R179" s="1"/>
      <c r="S179" s="1"/>
    </row>
    <row r="180" spans="1:19" x14ac:dyDescent="0.25">
      <c r="A180" s="21" t="s">
        <v>366</v>
      </c>
      <c r="B180" s="1" t="s">
        <v>23</v>
      </c>
      <c r="C180" s="1">
        <v>1372424</v>
      </c>
      <c r="D180" s="1" t="s">
        <v>192</v>
      </c>
      <c r="E180" s="1" t="s">
        <v>193</v>
      </c>
      <c r="F180" s="28" t="s">
        <v>736</v>
      </c>
      <c r="G180" s="1" t="s">
        <v>607</v>
      </c>
      <c r="H180" s="1"/>
      <c r="I180" s="11">
        <v>4</v>
      </c>
      <c r="J180" s="11"/>
      <c r="K180" s="27">
        <v>7.6923076923076927E-2</v>
      </c>
      <c r="L180" s="1">
        <v>2</v>
      </c>
      <c r="M180" s="1">
        <v>0</v>
      </c>
      <c r="N180" s="1">
        <v>0</v>
      </c>
      <c r="O180" s="1">
        <v>0</v>
      </c>
      <c r="P180" s="1">
        <v>0</v>
      </c>
      <c r="Q180" s="1"/>
      <c r="R180" s="1"/>
      <c r="S180" s="1"/>
    </row>
    <row r="181" spans="1:19" x14ac:dyDescent="0.25">
      <c r="A181" s="21" t="s">
        <v>366</v>
      </c>
      <c r="B181" s="1" t="s">
        <v>23</v>
      </c>
      <c r="C181" s="1">
        <v>1372432</v>
      </c>
      <c r="D181" s="1" t="s">
        <v>244</v>
      </c>
      <c r="E181" s="1" t="s">
        <v>245</v>
      </c>
      <c r="F181" s="28" t="s">
        <v>736</v>
      </c>
      <c r="G181" s="1" t="s">
        <v>612</v>
      </c>
      <c r="H181" s="1"/>
      <c r="I181" s="11">
        <v>0</v>
      </c>
      <c r="J181" s="11" t="s">
        <v>688</v>
      </c>
      <c r="K181" s="11">
        <v>0</v>
      </c>
      <c r="L181" s="1">
        <v>5</v>
      </c>
      <c r="M181" s="1">
        <v>0</v>
      </c>
      <c r="N181" s="1">
        <v>0</v>
      </c>
      <c r="O181" s="1">
        <v>0</v>
      </c>
      <c r="P181" s="1">
        <v>0</v>
      </c>
      <c r="Q181" s="1"/>
      <c r="R181" s="1"/>
      <c r="S181" s="1"/>
    </row>
    <row r="182" spans="1:19" x14ac:dyDescent="0.25">
      <c r="A182" s="21" t="s">
        <v>366</v>
      </c>
      <c r="B182" s="1" t="s">
        <v>23</v>
      </c>
      <c r="C182" s="1">
        <v>1372440</v>
      </c>
      <c r="D182" s="1" t="s">
        <v>246</v>
      </c>
      <c r="E182" s="1" t="s">
        <v>247</v>
      </c>
      <c r="F182" s="28" t="s">
        <v>736</v>
      </c>
      <c r="G182" s="1" t="s">
        <v>607</v>
      </c>
      <c r="H182" s="1"/>
      <c r="I182" s="11">
        <v>5</v>
      </c>
      <c r="J182" s="11" t="s">
        <v>688</v>
      </c>
      <c r="K182" s="27">
        <v>9.6153846153846159E-2</v>
      </c>
      <c r="L182" s="1">
        <v>5</v>
      </c>
      <c r="M182" s="1">
        <v>5</v>
      </c>
      <c r="N182" s="1">
        <v>5</v>
      </c>
      <c r="O182" s="1">
        <v>5</v>
      </c>
      <c r="P182" s="1">
        <v>5</v>
      </c>
      <c r="Q182" s="1"/>
      <c r="R182" s="1"/>
      <c r="S182" s="1"/>
    </row>
    <row r="183" spans="1:19" x14ac:dyDescent="0.25">
      <c r="A183" s="21" t="s">
        <v>366</v>
      </c>
      <c r="B183" s="1" t="s">
        <v>23</v>
      </c>
      <c r="C183" s="1">
        <v>1372459</v>
      </c>
      <c r="D183" s="1" t="s">
        <v>268</v>
      </c>
      <c r="E183" s="1" t="s">
        <v>269</v>
      </c>
      <c r="F183" s="28" t="s">
        <v>736</v>
      </c>
      <c r="G183" s="1" t="s">
        <v>620</v>
      </c>
      <c r="H183" s="1"/>
      <c r="I183" s="11">
        <v>12</v>
      </c>
      <c r="J183" s="11" t="s">
        <v>688</v>
      </c>
      <c r="K183" s="27">
        <v>0.23076923076923078</v>
      </c>
      <c r="L183" s="1">
        <v>2</v>
      </c>
      <c r="M183" s="1">
        <v>0</v>
      </c>
      <c r="N183" s="1">
        <v>0</v>
      </c>
      <c r="O183" s="1">
        <v>0</v>
      </c>
      <c r="P183" s="1">
        <v>0</v>
      </c>
      <c r="Q183" s="1"/>
      <c r="R183" s="1"/>
      <c r="S183" s="1"/>
    </row>
    <row r="184" spans="1:19" x14ac:dyDescent="0.25">
      <c r="A184" s="21" t="s">
        <v>366</v>
      </c>
      <c r="B184" s="1" t="s">
        <v>23</v>
      </c>
      <c r="C184" s="21">
        <v>1033115</v>
      </c>
      <c r="D184" s="21" t="s">
        <v>294</v>
      </c>
      <c r="E184" s="21" t="s">
        <v>295</v>
      </c>
      <c r="F184" s="28" t="s">
        <v>722</v>
      </c>
      <c r="G184" s="1" t="s">
        <v>601</v>
      </c>
      <c r="H184" s="1"/>
      <c r="I184" s="11">
        <v>777</v>
      </c>
      <c r="J184" s="11"/>
      <c r="K184" s="27">
        <v>14.942307692307692</v>
      </c>
      <c r="L184" s="1">
        <v>25</v>
      </c>
      <c r="M184" s="1">
        <v>75</v>
      </c>
      <c r="N184" s="1">
        <v>75</v>
      </c>
      <c r="O184" s="1">
        <v>70</v>
      </c>
      <c r="P184" s="1">
        <v>70</v>
      </c>
      <c r="Q184" s="1"/>
      <c r="R184" s="1"/>
      <c r="S184" s="1"/>
    </row>
    <row r="185" spans="1:19" x14ac:dyDescent="0.25">
      <c r="A185" s="21" t="s">
        <v>366</v>
      </c>
      <c r="B185" s="1" t="s">
        <v>23</v>
      </c>
      <c r="C185" s="1">
        <v>1033123</v>
      </c>
      <c r="D185" s="1" t="s">
        <v>300</v>
      </c>
      <c r="E185" s="1" t="s">
        <v>301</v>
      </c>
      <c r="F185" s="28" t="s">
        <v>722</v>
      </c>
      <c r="G185" s="1" t="s">
        <v>601</v>
      </c>
      <c r="H185" s="1"/>
      <c r="I185" s="11">
        <v>193</v>
      </c>
      <c r="J185" s="11" t="s">
        <v>688</v>
      </c>
      <c r="K185" s="27">
        <v>3.7115384615384617</v>
      </c>
      <c r="L185" s="1">
        <v>25</v>
      </c>
      <c r="M185" s="1">
        <v>50</v>
      </c>
      <c r="N185" s="1">
        <v>50</v>
      </c>
      <c r="O185" s="1">
        <v>50</v>
      </c>
      <c r="P185" s="1">
        <v>50</v>
      </c>
      <c r="Q185" s="1"/>
      <c r="R185" s="1"/>
      <c r="S185" s="1"/>
    </row>
    <row r="186" spans="1:19" x14ac:dyDescent="0.25">
      <c r="A186" s="21" t="s">
        <v>366</v>
      </c>
      <c r="B186" s="1" t="s">
        <v>23</v>
      </c>
      <c r="C186" s="1">
        <v>1372467</v>
      </c>
      <c r="D186" s="1" t="s">
        <v>302</v>
      </c>
      <c r="E186" s="1" t="s">
        <v>303</v>
      </c>
      <c r="F186" s="28" t="s">
        <v>757</v>
      </c>
      <c r="G186" s="1" t="s">
        <v>647</v>
      </c>
      <c r="H186" s="1"/>
      <c r="I186" s="11">
        <v>26</v>
      </c>
      <c r="J186" s="11"/>
      <c r="K186" s="27">
        <v>0.5</v>
      </c>
      <c r="L186" s="1">
        <v>5</v>
      </c>
      <c r="M186" s="1">
        <v>0</v>
      </c>
      <c r="N186" s="1">
        <v>0</v>
      </c>
      <c r="O186" s="1">
        <v>0</v>
      </c>
      <c r="P186" s="1">
        <v>0</v>
      </c>
      <c r="Q186" s="1"/>
      <c r="R186" s="1"/>
      <c r="S186" s="1"/>
    </row>
    <row r="187" spans="1:19" x14ac:dyDescent="0.25">
      <c r="A187" s="21" t="s">
        <v>366</v>
      </c>
      <c r="B187" s="1" t="s">
        <v>23</v>
      </c>
      <c r="C187" s="1">
        <v>1372475</v>
      </c>
      <c r="D187" s="1" t="s">
        <v>317</v>
      </c>
      <c r="E187" s="1" t="s">
        <v>318</v>
      </c>
      <c r="F187" s="28" t="s">
        <v>757</v>
      </c>
      <c r="G187" s="1" t="s">
        <v>648</v>
      </c>
      <c r="H187" s="1"/>
      <c r="I187" s="11">
        <v>19</v>
      </c>
      <c r="J187" s="11" t="s">
        <v>688</v>
      </c>
      <c r="K187" s="27">
        <v>0.36538461538461536</v>
      </c>
      <c r="L187" s="1">
        <v>2</v>
      </c>
      <c r="M187" s="1">
        <v>0</v>
      </c>
      <c r="N187" s="1">
        <v>0</v>
      </c>
      <c r="O187" s="1">
        <v>0</v>
      </c>
      <c r="P187" s="1">
        <v>0</v>
      </c>
      <c r="Q187" s="1"/>
      <c r="R187" s="1"/>
      <c r="S187" s="1"/>
    </row>
    <row r="188" spans="1:19" x14ac:dyDescent="0.25">
      <c r="A188" s="21" t="s">
        <v>366</v>
      </c>
      <c r="B188" s="1" t="s">
        <v>23</v>
      </c>
      <c r="C188" s="1">
        <v>1326660</v>
      </c>
      <c r="D188" s="1" t="s">
        <v>361</v>
      </c>
      <c r="E188" s="1" t="s">
        <v>362</v>
      </c>
      <c r="F188" s="28" t="s">
        <v>812</v>
      </c>
      <c r="G188" s="1" t="s">
        <v>840</v>
      </c>
      <c r="H188" s="1"/>
      <c r="I188" s="11">
        <v>0</v>
      </c>
      <c r="J188" s="11"/>
      <c r="K188" s="11">
        <v>0</v>
      </c>
      <c r="L188" s="1">
        <v>2</v>
      </c>
      <c r="M188" s="1">
        <v>0</v>
      </c>
      <c r="N188" s="1">
        <v>0</v>
      </c>
      <c r="O188" s="1">
        <v>0</v>
      </c>
      <c r="P188" s="1">
        <v>0</v>
      </c>
      <c r="Q188" s="1"/>
      <c r="R188" s="1"/>
      <c r="S188" s="1"/>
    </row>
    <row r="189" spans="1:19" x14ac:dyDescent="0.25">
      <c r="A189" s="21" t="s">
        <v>366</v>
      </c>
      <c r="B189" s="1" t="s">
        <v>11</v>
      </c>
      <c r="C189" s="1">
        <v>1137042</v>
      </c>
      <c r="D189" s="1" t="s">
        <v>12</v>
      </c>
      <c r="E189" s="1" t="s">
        <v>13</v>
      </c>
      <c r="F189" s="28" t="s">
        <v>813</v>
      </c>
      <c r="G189" s="1" t="s">
        <v>599</v>
      </c>
      <c r="H189" s="1"/>
      <c r="I189" s="11">
        <v>34</v>
      </c>
      <c r="J189" s="11"/>
      <c r="K189" s="27">
        <v>0.65384615384615385</v>
      </c>
      <c r="L189" s="1">
        <v>5</v>
      </c>
      <c r="M189" s="1">
        <v>0</v>
      </c>
      <c r="N189" s="1">
        <v>0</v>
      </c>
      <c r="O189" s="1">
        <v>0</v>
      </c>
      <c r="P189" s="1">
        <v>0</v>
      </c>
      <c r="Q189" s="1"/>
      <c r="R189" s="1"/>
      <c r="S189" s="1"/>
    </row>
    <row r="190" spans="1:19" x14ac:dyDescent="0.25">
      <c r="A190" s="21" t="s">
        <v>366</v>
      </c>
      <c r="B190" s="1" t="s">
        <v>11</v>
      </c>
      <c r="C190" s="1">
        <v>1054635</v>
      </c>
      <c r="D190" s="1" t="s">
        <v>16</v>
      </c>
      <c r="E190" s="1" t="s">
        <v>17</v>
      </c>
      <c r="F190" s="28" t="s">
        <v>762</v>
      </c>
      <c r="G190" s="1" t="s">
        <v>607</v>
      </c>
      <c r="H190" s="1"/>
      <c r="I190" s="11">
        <v>87</v>
      </c>
      <c r="J190" s="11" t="s">
        <v>688</v>
      </c>
      <c r="K190" s="27">
        <v>1.6730769230769231</v>
      </c>
      <c r="L190" s="1">
        <v>5</v>
      </c>
      <c r="M190" s="1">
        <v>0</v>
      </c>
      <c r="N190" s="1">
        <v>0</v>
      </c>
      <c r="O190" s="1">
        <v>0</v>
      </c>
      <c r="P190" s="1">
        <v>0</v>
      </c>
      <c r="Q190" s="1"/>
      <c r="R190" s="1"/>
      <c r="S190" s="1"/>
    </row>
    <row r="191" spans="1:19" x14ac:dyDescent="0.25">
      <c r="A191" s="21" t="s">
        <v>366</v>
      </c>
      <c r="B191" s="1" t="s">
        <v>11</v>
      </c>
      <c r="C191" s="1">
        <v>1137026</v>
      </c>
      <c r="D191" s="1" t="s">
        <v>21</v>
      </c>
      <c r="E191" s="1" t="s">
        <v>22</v>
      </c>
      <c r="F191" s="28" t="s">
        <v>766</v>
      </c>
      <c r="G191" s="1" t="s">
        <v>599</v>
      </c>
      <c r="H191" s="1"/>
      <c r="I191" s="11">
        <v>43</v>
      </c>
      <c r="J191" s="11" t="s">
        <v>688</v>
      </c>
      <c r="K191" s="27">
        <v>0.82692307692307687</v>
      </c>
      <c r="L191" s="1">
        <v>5</v>
      </c>
      <c r="M191" s="1">
        <v>4</v>
      </c>
      <c r="N191" s="1">
        <v>4</v>
      </c>
      <c r="O191" s="1">
        <v>4</v>
      </c>
      <c r="P191" s="1">
        <v>3</v>
      </c>
      <c r="Q191" s="1"/>
      <c r="R191" s="1"/>
      <c r="S191" s="1"/>
    </row>
    <row r="192" spans="1:19" x14ac:dyDescent="0.25">
      <c r="A192" s="21" t="s">
        <v>366</v>
      </c>
      <c r="B192" s="1" t="s">
        <v>11</v>
      </c>
      <c r="C192" s="1">
        <v>1033492</v>
      </c>
      <c r="D192" s="1" t="s">
        <v>57</v>
      </c>
      <c r="E192" s="1" t="s">
        <v>58</v>
      </c>
      <c r="F192" s="28" t="s">
        <v>746</v>
      </c>
      <c r="G192" s="1" t="s">
        <v>617</v>
      </c>
      <c r="H192" s="1"/>
      <c r="I192" s="11">
        <v>4</v>
      </c>
      <c r="J192" s="11"/>
      <c r="K192" s="27">
        <v>7.6923076923076927E-2</v>
      </c>
      <c r="L192" s="1">
        <v>2</v>
      </c>
      <c r="M192" s="1">
        <v>3</v>
      </c>
      <c r="N192" s="1">
        <v>0</v>
      </c>
      <c r="O192" s="1">
        <v>0</v>
      </c>
      <c r="P192" s="1">
        <v>0</v>
      </c>
      <c r="Q192" s="1"/>
      <c r="R192" s="1"/>
      <c r="S192" s="1"/>
    </row>
    <row r="193" spans="1:19" x14ac:dyDescent="0.25">
      <c r="A193" s="21" t="s">
        <v>366</v>
      </c>
      <c r="B193" s="1" t="s">
        <v>11</v>
      </c>
      <c r="C193" s="1">
        <v>1033484</v>
      </c>
      <c r="D193" s="1" t="s">
        <v>74</v>
      </c>
      <c r="E193" s="1" t="s">
        <v>75</v>
      </c>
      <c r="F193" s="28" t="s">
        <v>746</v>
      </c>
      <c r="G193" s="1" t="s">
        <v>614</v>
      </c>
      <c r="H193" s="1"/>
      <c r="I193" s="11">
        <v>36</v>
      </c>
      <c r="J193" s="11" t="s">
        <v>688</v>
      </c>
      <c r="K193" s="27">
        <v>0.69230769230769229</v>
      </c>
      <c r="L193" s="1">
        <v>5</v>
      </c>
      <c r="M193" s="1">
        <v>3</v>
      </c>
      <c r="N193" s="1">
        <v>0</v>
      </c>
      <c r="O193" s="1">
        <v>0</v>
      </c>
      <c r="P193" s="1">
        <v>0</v>
      </c>
      <c r="Q193" s="1"/>
      <c r="R193" s="1"/>
      <c r="S193" s="1"/>
    </row>
    <row r="194" spans="1:19" x14ac:dyDescent="0.25">
      <c r="A194" s="21" t="s">
        <v>366</v>
      </c>
      <c r="B194" s="1" t="s">
        <v>11</v>
      </c>
      <c r="C194" s="1">
        <v>1033476</v>
      </c>
      <c r="D194" s="1" t="s">
        <v>84</v>
      </c>
      <c r="E194" s="1" t="s">
        <v>85</v>
      </c>
      <c r="F194" s="28" t="s">
        <v>746</v>
      </c>
      <c r="G194" s="1" t="s">
        <v>610</v>
      </c>
      <c r="H194" s="1"/>
      <c r="I194" s="11">
        <v>41</v>
      </c>
      <c r="J194" s="11" t="s">
        <v>688</v>
      </c>
      <c r="K194" s="27">
        <v>0.78846153846153844</v>
      </c>
      <c r="L194" s="1">
        <v>5</v>
      </c>
      <c r="M194" s="1">
        <v>0</v>
      </c>
      <c r="N194" s="1">
        <v>0</v>
      </c>
      <c r="O194" s="1">
        <v>0</v>
      </c>
      <c r="P194" s="1">
        <v>0</v>
      </c>
      <c r="Q194" s="1"/>
      <c r="R194" s="1"/>
      <c r="S194" s="1"/>
    </row>
    <row r="195" spans="1:19" x14ac:dyDescent="0.25">
      <c r="A195" s="21" t="s">
        <v>366</v>
      </c>
      <c r="B195" s="1" t="s">
        <v>11</v>
      </c>
      <c r="C195" s="21">
        <v>1033611</v>
      </c>
      <c r="D195" s="21" t="s">
        <v>86</v>
      </c>
      <c r="E195" s="21" t="s">
        <v>87</v>
      </c>
      <c r="F195" s="28" t="s">
        <v>730</v>
      </c>
      <c r="G195" s="1" t="s">
        <v>618</v>
      </c>
      <c r="H195" s="1"/>
      <c r="I195" s="11">
        <v>153</v>
      </c>
      <c r="J195" s="11" t="s">
        <v>688</v>
      </c>
      <c r="K195" s="27">
        <v>2.9423076923076925</v>
      </c>
      <c r="L195" s="1">
        <v>10</v>
      </c>
      <c r="M195" s="1">
        <v>0</v>
      </c>
      <c r="N195" s="1">
        <v>0</v>
      </c>
      <c r="O195" s="1">
        <v>0</v>
      </c>
      <c r="P195" s="1">
        <v>0</v>
      </c>
      <c r="Q195" s="1"/>
      <c r="R195" s="1"/>
      <c r="S195" s="1"/>
    </row>
    <row r="196" spans="1:19" x14ac:dyDescent="0.25">
      <c r="A196" s="21" t="s">
        <v>366</v>
      </c>
      <c r="B196" s="1" t="s">
        <v>11</v>
      </c>
      <c r="C196" s="1">
        <v>1033603</v>
      </c>
      <c r="D196" s="1" t="s">
        <v>100</v>
      </c>
      <c r="E196" s="1" t="s">
        <v>101</v>
      </c>
      <c r="F196" s="28" t="s">
        <v>730</v>
      </c>
      <c r="G196" s="1" t="s">
        <v>607</v>
      </c>
      <c r="H196" s="1"/>
      <c r="I196" s="11">
        <v>124</v>
      </c>
      <c r="J196" s="11" t="s">
        <v>688</v>
      </c>
      <c r="K196" s="27">
        <v>2.3846153846153846</v>
      </c>
      <c r="L196" s="1">
        <v>10</v>
      </c>
      <c r="M196" s="1">
        <v>0</v>
      </c>
      <c r="N196" s="1">
        <v>0</v>
      </c>
      <c r="O196" s="1">
        <v>0</v>
      </c>
      <c r="P196" s="1">
        <v>0</v>
      </c>
      <c r="Q196" s="1"/>
      <c r="R196" s="1"/>
      <c r="S196" s="1"/>
    </row>
    <row r="197" spans="1:19" x14ac:dyDescent="0.25">
      <c r="A197" s="21" t="s">
        <v>366</v>
      </c>
      <c r="B197" s="1" t="s">
        <v>11</v>
      </c>
      <c r="C197" s="21">
        <v>1033590</v>
      </c>
      <c r="D197" s="21" t="s">
        <v>102</v>
      </c>
      <c r="E197" s="21" t="s">
        <v>103</v>
      </c>
      <c r="F197" s="28" t="s">
        <v>730</v>
      </c>
      <c r="G197" s="1" t="s">
        <v>612</v>
      </c>
      <c r="H197" s="1"/>
      <c r="I197" s="11">
        <v>434</v>
      </c>
      <c r="J197" s="11"/>
      <c r="K197" s="27">
        <v>8.3461538461538467</v>
      </c>
      <c r="L197" s="1">
        <v>25</v>
      </c>
      <c r="M197" s="1">
        <v>0</v>
      </c>
      <c r="N197" s="1">
        <v>0</v>
      </c>
      <c r="O197" s="1">
        <v>0</v>
      </c>
      <c r="P197" s="1">
        <v>0</v>
      </c>
      <c r="Q197" s="1"/>
      <c r="R197" s="1"/>
      <c r="S197" s="1"/>
    </row>
    <row r="198" spans="1:19" x14ac:dyDescent="0.25">
      <c r="A198" s="21" t="s">
        <v>366</v>
      </c>
      <c r="B198" s="1" t="s">
        <v>11</v>
      </c>
      <c r="C198" s="1">
        <v>1033433</v>
      </c>
      <c r="D198" s="1" t="s">
        <v>126</v>
      </c>
      <c r="E198" s="1" t="s">
        <v>127</v>
      </c>
      <c r="F198" s="28" t="s">
        <v>729</v>
      </c>
      <c r="G198" s="1" t="s">
        <v>623</v>
      </c>
      <c r="H198" s="1"/>
      <c r="I198" s="11">
        <v>2</v>
      </c>
      <c r="J198" s="11" t="s">
        <v>688</v>
      </c>
      <c r="K198" s="27">
        <v>3.8461538461538464E-2</v>
      </c>
      <c r="L198" s="1">
        <v>2</v>
      </c>
      <c r="M198" s="1">
        <v>1</v>
      </c>
      <c r="N198" s="1">
        <v>1</v>
      </c>
      <c r="O198" s="1">
        <v>1</v>
      </c>
      <c r="P198" s="1">
        <v>0</v>
      </c>
      <c r="Q198" s="1"/>
      <c r="R198" s="1"/>
      <c r="S198" s="1"/>
    </row>
    <row r="199" spans="1:19" x14ac:dyDescent="0.25">
      <c r="A199" s="21" t="s">
        <v>366</v>
      </c>
      <c r="B199" s="1" t="s">
        <v>11</v>
      </c>
      <c r="C199" s="1">
        <v>1033425</v>
      </c>
      <c r="D199" s="1" t="s">
        <v>142</v>
      </c>
      <c r="E199" s="1" t="s">
        <v>143</v>
      </c>
      <c r="F199" s="28" t="s">
        <v>729</v>
      </c>
      <c r="G199" s="1" t="s">
        <v>606</v>
      </c>
      <c r="H199" s="1"/>
      <c r="I199" s="11">
        <v>21</v>
      </c>
      <c r="J199" s="11" t="s">
        <v>688</v>
      </c>
      <c r="K199" s="27">
        <v>0.40384615384615385</v>
      </c>
      <c r="L199" s="1">
        <v>2</v>
      </c>
      <c r="M199" s="1">
        <v>1</v>
      </c>
      <c r="N199" s="1">
        <v>1</v>
      </c>
      <c r="O199" s="1">
        <v>1</v>
      </c>
      <c r="P199" s="1">
        <v>0</v>
      </c>
      <c r="Q199" s="1"/>
      <c r="R199" s="1"/>
      <c r="S199" s="1"/>
    </row>
    <row r="200" spans="1:19" x14ac:dyDescent="0.25">
      <c r="A200" s="21" t="s">
        <v>366</v>
      </c>
      <c r="B200" s="1" t="s">
        <v>11</v>
      </c>
      <c r="C200" s="1">
        <v>1033417</v>
      </c>
      <c r="D200" s="1" t="s">
        <v>148</v>
      </c>
      <c r="E200" s="1" t="s">
        <v>149</v>
      </c>
      <c r="F200" s="28" t="s">
        <v>729</v>
      </c>
      <c r="G200" s="1" t="s">
        <v>610</v>
      </c>
      <c r="H200" s="1"/>
      <c r="I200" s="11">
        <v>69</v>
      </c>
      <c r="J200" s="11" t="s">
        <v>688</v>
      </c>
      <c r="K200" s="27">
        <v>1.3269230769230769</v>
      </c>
      <c r="L200" s="1">
        <v>5</v>
      </c>
      <c r="M200" s="1">
        <v>0</v>
      </c>
      <c r="N200" s="1">
        <v>0</v>
      </c>
      <c r="O200" s="1">
        <v>0</v>
      </c>
      <c r="P200" s="1">
        <v>0</v>
      </c>
      <c r="Q200" s="1"/>
      <c r="R200" s="1"/>
      <c r="S200" s="1"/>
    </row>
    <row r="201" spans="1:19" x14ac:dyDescent="0.25">
      <c r="A201" s="21" t="s">
        <v>366</v>
      </c>
      <c r="B201" s="1" t="s">
        <v>11</v>
      </c>
      <c r="C201" s="1">
        <v>1215345</v>
      </c>
      <c r="D201" s="1" t="s">
        <v>170</v>
      </c>
      <c r="E201" s="1" t="s">
        <v>171</v>
      </c>
      <c r="F201" s="28" t="s">
        <v>728</v>
      </c>
      <c r="G201" s="1" t="s">
        <v>638</v>
      </c>
      <c r="H201" s="1"/>
      <c r="I201" s="11">
        <v>25</v>
      </c>
      <c r="J201" s="11" t="s">
        <v>688</v>
      </c>
      <c r="K201" s="27">
        <v>0.48076923076923078</v>
      </c>
      <c r="L201" s="1">
        <v>2</v>
      </c>
      <c r="M201" s="1">
        <v>0</v>
      </c>
      <c r="N201" s="1">
        <v>0</v>
      </c>
      <c r="O201" s="1">
        <v>0</v>
      </c>
      <c r="P201" s="1">
        <v>0</v>
      </c>
      <c r="Q201" s="1"/>
      <c r="R201" s="1"/>
      <c r="S201" s="1"/>
    </row>
    <row r="202" spans="1:19" x14ac:dyDescent="0.25">
      <c r="A202" s="21" t="s">
        <v>366</v>
      </c>
      <c r="B202" s="1" t="s">
        <v>11</v>
      </c>
      <c r="C202" s="1">
        <v>1215337</v>
      </c>
      <c r="D202" s="1" t="s">
        <v>180</v>
      </c>
      <c r="E202" s="1" t="s">
        <v>181</v>
      </c>
      <c r="F202" s="28" t="s">
        <v>728</v>
      </c>
      <c r="G202" s="1" t="s">
        <v>639</v>
      </c>
      <c r="H202" s="1"/>
      <c r="I202" s="11">
        <v>13</v>
      </c>
      <c r="J202" s="11" t="s">
        <v>688</v>
      </c>
      <c r="K202" s="27">
        <v>0.25</v>
      </c>
      <c r="L202" s="1">
        <v>2</v>
      </c>
      <c r="M202" s="1">
        <v>6</v>
      </c>
      <c r="N202" s="1">
        <v>6</v>
      </c>
      <c r="O202" s="1">
        <v>6</v>
      </c>
      <c r="P202" s="1">
        <v>6</v>
      </c>
      <c r="Q202" s="1"/>
      <c r="R202" s="1"/>
      <c r="S202" s="1"/>
    </row>
    <row r="203" spans="1:19" x14ac:dyDescent="0.25">
      <c r="A203" s="21" t="s">
        <v>366</v>
      </c>
      <c r="B203" s="1" t="s">
        <v>11</v>
      </c>
      <c r="C203" s="1">
        <v>1215329</v>
      </c>
      <c r="D203" s="1" t="s">
        <v>182</v>
      </c>
      <c r="E203" s="1" t="s">
        <v>183</v>
      </c>
      <c r="F203" s="28" t="s">
        <v>728</v>
      </c>
      <c r="G203" s="1" t="s">
        <v>615</v>
      </c>
      <c r="H203" s="1"/>
      <c r="I203" s="11">
        <v>63</v>
      </c>
      <c r="J203" s="11" t="s">
        <v>688</v>
      </c>
      <c r="K203" s="27">
        <v>1.2115384615384615</v>
      </c>
      <c r="L203" s="1">
        <v>5</v>
      </c>
      <c r="M203" s="1">
        <v>0</v>
      </c>
      <c r="N203" s="1">
        <v>0</v>
      </c>
      <c r="O203" s="1">
        <v>0</v>
      </c>
      <c r="P203" s="1">
        <v>0</v>
      </c>
      <c r="Q203" s="1"/>
      <c r="R203" s="1"/>
      <c r="S203" s="1"/>
    </row>
    <row r="204" spans="1:19" x14ac:dyDescent="0.25">
      <c r="A204" s="21" t="s">
        <v>366</v>
      </c>
      <c r="B204" s="1" t="s">
        <v>11</v>
      </c>
      <c r="C204" s="1">
        <v>1372963</v>
      </c>
      <c r="D204" s="1" t="s">
        <v>194</v>
      </c>
      <c r="E204" s="1" t="s">
        <v>195</v>
      </c>
      <c r="F204" s="28" t="s">
        <v>814</v>
      </c>
      <c r="G204" s="1" t="s">
        <v>607</v>
      </c>
      <c r="H204" s="1"/>
      <c r="I204" s="11">
        <v>25</v>
      </c>
      <c r="J204" s="11" t="s">
        <v>688</v>
      </c>
      <c r="K204" s="27">
        <v>0.48076923076923078</v>
      </c>
      <c r="L204" s="1">
        <v>2</v>
      </c>
      <c r="M204" s="1">
        <v>0</v>
      </c>
      <c r="N204" s="1">
        <v>0</v>
      </c>
      <c r="O204" s="1">
        <v>0</v>
      </c>
      <c r="P204" s="1">
        <v>0</v>
      </c>
      <c r="Q204" s="1"/>
      <c r="R204" s="1"/>
      <c r="S204" s="1"/>
    </row>
    <row r="205" spans="1:19" x14ac:dyDescent="0.25">
      <c r="A205" s="21" t="s">
        <v>366</v>
      </c>
      <c r="B205" s="1" t="s">
        <v>11</v>
      </c>
      <c r="C205" s="1">
        <v>1372971</v>
      </c>
      <c r="D205" s="1" t="s">
        <v>212</v>
      </c>
      <c r="E205" s="1" t="s">
        <v>213</v>
      </c>
      <c r="F205" s="28" t="s">
        <v>814</v>
      </c>
      <c r="G205" s="1" t="s">
        <v>620</v>
      </c>
      <c r="H205" s="1"/>
      <c r="I205" s="11">
        <v>4</v>
      </c>
      <c r="J205" s="11" t="s">
        <v>688</v>
      </c>
      <c r="K205" s="27">
        <v>7.6923076923076927E-2</v>
      </c>
      <c r="L205" s="1">
        <v>2</v>
      </c>
      <c r="M205" s="1">
        <v>0</v>
      </c>
      <c r="N205" s="1">
        <v>0</v>
      </c>
      <c r="O205" s="1">
        <v>0</v>
      </c>
      <c r="P205" s="1">
        <v>0</v>
      </c>
      <c r="Q205" s="1"/>
      <c r="R205" s="1"/>
      <c r="S205" s="1"/>
    </row>
    <row r="206" spans="1:19" x14ac:dyDescent="0.25">
      <c r="A206" s="21" t="s">
        <v>366</v>
      </c>
      <c r="B206" s="1" t="s">
        <v>11</v>
      </c>
      <c r="C206" s="1">
        <v>1372980</v>
      </c>
      <c r="D206" s="1" t="s">
        <v>222</v>
      </c>
      <c r="E206" s="1" t="s">
        <v>223</v>
      </c>
      <c r="F206" s="28" t="s">
        <v>814</v>
      </c>
      <c r="G206" s="1" t="s">
        <v>636</v>
      </c>
      <c r="H206" s="1"/>
      <c r="I206" s="11">
        <v>6</v>
      </c>
      <c r="J206" s="11" t="s">
        <v>688</v>
      </c>
      <c r="K206" s="27">
        <v>0.11538461538461539</v>
      </c>
      <c r="L206" s="1">
        <v>2</v>
      </c>
      <c r="M206" s="1">
        <v>0</v>
      </c>
      <c r="N206" s="1">
        <v>0</v>
      </c>
      <c r="O206" s="1">
        <v>0</v>
      </c>
      <c r="P206" s="1">
        <v>0</v>
      </c>
      <c r="Q206" s="1"/>
      <c r="R206" s="1"/>
      <c r="S206" s="1"/>
    </row>
    <row r="207" spans="1:19" x14ac:dyDescent="0.25">
      <c r="A207" s="21" t="s">
        <v>366</v>
      </c>
      <c r="B207" s="1" t="s">
        <v>11</v>
      </c>
      <c r="C207" s="1">
        <v>1033409</v>
      </c>
      <c r="D207" s="1" t="s">
        <v>224</v>
      </c>
      <c r="E207" s="1" t="s">
        <v>225</v>
      </c>
      <c r="F207" s="28" t="s">
        <v>724</v>
      </c>
      <c r="G207" s="1" t="s">
        <v>623</v>
      </c>
      <c r="H207" s="1"/>
      <c r="I207" s="11">
        <v>11</v>
      </c>
      <c r="J207" s="11" t="s">
        <v>688</v>
      </c>
      <c r="K207" s="27">
        <v>0.21153846153846154</v>
      </c>
      <c r="L207" s="1">
        <v>2</v>
      </c>
      <c r="M207" s="1">
        <v>8</v>
      </c>
      <c r="N207" s="1">
        <v>8</v>
      </c>
      <c r="O207" s="1">
        <v>8</v>
      </c>
      <c r="P207" s="1">
        <v>8</v>
      </c>
      <c r="Q207" s="1"/>
      <c r="R207" s="1"/>
      <c r="S207" s="1"/>
    </row>
    <row r="208" spans="1:19" x14ac:dyDescent="0.25">
      <c r="A208" s="21" t="s">
        <v>366</v>
      </c>
      <c r="B208" s="1" t="s">
        <v>11</v>
      </c>
      <c r="C208" s="21">
        <v>1033395</v>
      </c>
      <c r="D208" s="21" t="s">
        <v>248</v>
      </c>
      <c r="E208" s="21" t="s">
        <v>249</v>
      </c>
      <c r="F208" s="28" t="s">
        <v>724</v>
      </c>
      <c r="G208" s="1" t="s">
        <v>606</v>
      </c>
      <c r="H208" s="1"/>
      <c r="I208" s="11">
        <v>121</v>
      </c>
      <c r="J208" s="11" t="s">
        <v>688</v>
      </c>
      <c r="K208" s="27">
        <v>2.3269230769230771</v>
      </c>
      <c r="L208" s="1">
        <v>5</v>
      </c>
      <c r="M208" s="1">
        <v>3</v>
      </c>
      <c r="N208" s="1">
        <v>3</v>
      </c>
      <c r="O208" s="1">
        <v>3</v>
      </c>
      <c r="P208" s="1">
        <v>3</v>
      </c>
      <c r="Q208" s="1"/>
      <c r="R208" s="1"/>
      <c r="S208" s="1"/>
    </row>
    <row r="209" spans="1:19" x14ac:dyDescent="0.25">
      <c r="A209" s="21" t="s">
        <v>366</v>
      </c>
      <c r="B209" s="1" t="s">
        <v>11</v>
      </c>
      <c r="C209" s="21">
        <v>1033387</v>
      </c>
      <c r="D209" s="21" t="s">
        <v>250</v>
      </c>
      <c r="E209" s="21" t="s">
        <v>251</v>
      </c>
      <c r="F209" s="28" t="s">
        <v>724</v>
      </c>
      <c r="G209" s="1" t="s">
        <v>610</v>
      </c>
      <c r="H209" s="1"/>
      <c r="I209" s="11">
        <v>401</v>
      </c>
      <c r="J209" s="11"/>
      <c r="K209" s="27">
        <v>7.7115384615384617</v>
      </c>
      <c r="L209" s="1">
        <v>10</v>
      </c>
      <c r="M209" s="1">
        <v>8</v>
      </c>
      <c r="N209" s="1">
        <v>8</v>
      </c>
      <c r="O209" s="1">
        <v>8</v>
      </c>
      <c r="P209" s="1">
        <v>8</v>
      </c>
      <c r="Q209" s="1"/>
      <c r="R209" s="1"/>
      <c r="S209" s="1"/>
    </row>
    <row r="210" spans="1:19" x14ac:dyDescent="0.25">
      <c r="A210" s="21" t="s">
        <v>366</v>
      </c>
      <c r="B210" s="1" t="s">
        <v>11</v>
      </c>
      <c r="C210" s="1">
        <v>1215400</v>
      </c>
      <c r="D210" s="1" t="s">
        <v>254</v>
      </c>
      <c r="E210" s="1" t="s">
        <v>255</v>
      </c>
      <c r="F210" s="28" t="s">
        <v>753</v>
      </c>
      <c r="G210" s="1" t="s">
        <v>623</v>
      </c>
      <c r="H210" s="1"/>
      <c r="I210" s="11">
        <v>0</v>
      </c>
      <c r="J210" s="11" t="s">
        <v>688</v>
      </c>
      <c r="K210" s="11">
        <v>0</v>
      </c>
      <c r="L210" s="1">
        <v>2</v>
      </c>
      <c r="M210" s="1">
        <v>0</v>
      </c>
      <c r="N210" s="1">
        <v>0</v>
      </c>
      <c r="O210" s="1">
        <v>0</v>
      </c>
      <c r="P210" s="1">
        <v>0</v>
      </c>
      <c r="Q210" s="1"/>
      <c r="R210" s="1"/>
      <c r="S210" s="1"/>
    </row>
    <row r="211" spans="1:19" x14ac:dyDescent="0.25">
      <c r="A211" s="21" t="s">
        <v>366</v>
      </c>
      <c r="B211" s="1" t="s">
        <v>11</v>
      </c>
      <c r="C211" s="1">
        <v>1215396</v>
      </c>
      <c r="D211" s="1" t="s">
        <v>276</v>
      </c>
      <c r="E211" s="1" t="s">
        <v>277</v>
      </c>
      <c r="F211" s="28" t="s">
        <v>753</v>
      </c>
      <c r="G211" s="1" t="s">
        <v>606</v>
      </c>
      <c r="H211" s="1"/>
      <c r="I211" s="11">
        <v>12</v>
      </c>
      <c r="J211" s="11" t="s">
        <v>688</v>
      </c>
      <c r="K211" s="27">
        <v>0.23076923076923078</v>
      </c>
      <c r="L211" s="1">
        <v>2</v>
      </c>
      <c r="M211" s="1">
        <v>0</v>
      </c>
      <c r="N211" s="1">
        <v>0</v>
      </c>
      <c r="O211" s="1">
        <v>0</v>
      </c>
      <c r="P211" s="1">
        <v>0</v>
      </c>
      <c r="Q211" s="1"/>
      <c r="R211" s="1"/>
      <c r="S211" s="1"/>
    </row>
    <row r="212" spans="1:19" x14ac:dyDescent="0.25">
      <c r="A212" s="21" t="s">
        <v>366</v>
      </c>
      <c r="B212" s="1" t="s">
        <v>11</v>
      </c>
      <c r="C212" s="1">
        <v>1215388</v>
      </c>
      <c r="D212" s="1" t="s">
        <v>278</v>
      </c>
      <c r="E212" s="1" t="s">
        <v>279</v>
      </c>
      <c r="F212" s="28" t="s">
        <v>753</v>
      </c>
      <c r="G212" s="1" t="s">
        <v>610</v>
      </c>
      <c r="H212" s="1"/>
      <c r="I212" s="11">
        <v>50</v>
      </c>
      <c r="J212" s="11" t="s">
        <v>688</v>
      </c>
      <c r="K212" s="27">
        <v>0.96153846153846156</v>
      </c>
      <c r="L212" s="1">
        <v>5</v>
      </c>
      <c r="M212" s="1">
        <v>0</v>
      </c>
      <c r="N212" s="1">
        <v>0</v>
      </c>
      <c r="O212" s="1">
        <v>0</v>
      </c>
      <c r="P212" s="1">
        <v>0</v>
      </c>
      <c r="Q212" s="1"/>
      <c r="R212" s="1"/>
      <c r="S212" s="1"/>
    </row>
    <row r="213" spans="1:19" x14ac:dyDescent="0.25">
      <c r="A213" s="21" t="s">
        <v>366</v>
      </c>
      <c r="B213" s="1" t="s">
        <v>11</v>
      </c>
      <c r="C213" s="1">
        <v>1038320</v>
      </c>
      <c r="D213" s="1" t="s">
        <v>282</v>
      </c>
      <c r="E213" s="1" t="s">
        <v>283</v>
      </c>
      <c r="F213" s="28" t="s">
        <v>756</v>
      </c>
      <c r="G213" s="1" t="s">
        <v>651</v>
      </c>
      <c r="H213" s="1"/>
      <c r="I213" s="11">
        <v>0</v>
      </c>
      <c r="J213" s="11" t="s">
        <v>688</v>
      </c>
      <c r="K213" s="11">
        <v>0</v>
      </c>
      <c r="L213" s="1">
        <v>2</v>
      </c>
      <c r="M213" s="1">
        <v>0</v>
      </c>
      <c r="N213" s="1">
        <v>0</v>
      </c>
      <c r="O213" s="1">
        <v>0</v>
      </c>
      <c r="P213" s="1">
        <v>0</v>
      </c>
      <c r="Q213" s="1"/>
      <c r="R213" s="1"/>
      <c r="S213" s="1"/>
    </row>
    <row r="214" spans="1:19" x14ac:dyDescent="0.25">
      <c r="A214" s="21" t="s">
        <v>366</v>
      </c>
      <c r="B214" s="1" t="s">
        <v>11</v>
      </c>
      <c r="C214" s="1">
        <v>1038311</v>
      </c>
      <c r="D214" s="1" t="s">
        <v>288</v>
      </c>
      <c r="E214" s="1" t="s">
        <v>289</v>
      </c>
      <c r="F214" s="28" t="s">
        <v>756</v>
      </c>
      <c r="G214" s="1" t="s">
        <v>639</v>
      </c>
      <c r="H214" s="1"/>
      <c r="I214" s="11">
        <v>1</v>
      </c>
      <c r="J214" s="11" t="s">
        <v>688</v>
      </c>
      <c r="K214" s="27">
        <v>1.9230769230769232E-2</v>
      </c>
      <c r="L214" s="1">
        <v>2</v>
      </c>
      <c r="M214" s="1">
        <v>0</v>
      </c>
      <c r="N214" s="1">
        <v>0</v>
      </c>
      <c r="O214" s="1">
        <v>0</v>
      </c>
      <c r="P214" s="1">
        <v>0</v>
      </c>
      <c r="Q214" s="1"/>
      <c r="R214" s="1"/>
      <c r="S214" s="1"/>
    </row>
    <row r="215" spans="1:19" x14ac:dyDescent="0.25">
      <c r="A215" s="21" t="s">
        <v>366</v>
      </c>
      <c r="B215" s="1" t="s">
        <v>11</v>
      </c>
      <c r="C215" s="1">
        <v>1038303</v>
      </c>
      <c r="D215" s="1" t="s">
        <v>296</v>
      </c>
      <c r="E215" s="1" t="s">
        <v>297</v>
      </c>
      <c r="F215" s="28" t="s">
        <v>756</v>
      </c>
      <c r="G215" s="1" t="s">
        <v>615</v>
      </c>
      <c r="H215" s="1"/>
      <c r="I215" s="11">
        <v>11</v>
      </c>
      <c r="J215" s="11" t="s">
        <v>688</v>
      </c>
      <c r="K215" s="27">
        <v>0.21153846153846154</v>
      </c>
      <c r="L215" s="1">
        <v>2</v>
      </c>
      <c r="M215" s="1">
        <v>0</v>
      </c>
      <c r="N215" s="1">
        <v>0</v>
      </c>
      <c r="O215" s="1">
        <v>0</v>
      </c>
      <c r="P215" s="1">
        <v>0</v>
      </c>
      <c r="Q215" s="1"/>
      <c r="R215" s="1"/>
      <c r="S215" s="1"/>
    </row>
    <row r="216" spans="1:19" x14ac:dyDescent="0.25">
      <c r="A216" s="21" t="s">
        <v>366</v>
      </c>
      <c r="B216" s="1" t="s">
        <v>11</v>
      </c>
      <c r="C216" s="1">
        <v>1033468</v>
      </c>
      <c r="D216" s="1" t="s">
        <v>304</v>
      </c>
      <c r="E216" s="1" t="s">
        <v>305</v>
      </c>
      <c r="F216" s="28" t="s">
        <v>815</v>
      </c>
      <c r="G216" s="1" t="s">
        <v>654</v>
      </c>
      <c r="H216" s="1"/>
      <c r="I216" s="11">
        <v>74</v>
      </c>
      <c r="J216" s="11"/>
      <c r="K216" s="27">
        <v>1.4230769230769231</v>
      </c>
      <c r="L216" s="1">
        <v>5</v>
      </c>
      <c r="M216" s="1">
        <v>0</v>
      </c>
      <c r="N216" s="1">
        <v>0</v>
      </c>
      <c r="O216" s="1">
        <v>0</v>
      </c>
      <c r="P216" s="1">
        <v>0</v>
      </c>
      <c r="Q216" s="1"/>
      <c r="R216" s="1"/>
      <c r="S216" s="1"/>
    </row>
    <row r="217" spans="1:19" x14ac:dyDescent="0.25">
      <c r="A217" s="21" t="s">
        <v>366</v>
      </c>
      <c r="B217" s="1" t="s">
        <v>11</v>
      </c>
      <c r="C217" s="21">
        <v>1033450</v>
      </c>
      <c r="D217" s="21" t="s">
        <v>308</v>
      </c>
      <c r="E217" s="21" t="s">
        <v>309</v>
      </c>
      <c r="F217" s="28" t="s">
        <v>815</v>
      </c>
      <c r="G217" s="1" t="s">
        <v>607</v>
      </c>
      <c r="H217" s="1"/>
      <c r="I217" s="11">
        <v>245</v>
      </c>
      <c r="J217" s="11"/>
      <c r="K217" s="27">
        <v>4.7115384615384617</v>
      </c>
      <c r="L217" s="1">
        <v>10</v>
      </c>
      <c r="M217" s="1">
        <v>5</v>
      </c>
      <c r="N217" s="1">
        <v>0</v>
      </c>
      <c r="O217" s="1">
        <v>0</v>
      </c>
      <c r="P217" s="1">
        <v>0</v>
      </c>
      <c r="Q217" s="1"/>
      <c r="R217" s="1"/>
      <c r="S217" s="1"/>
    </row>
    <row r="218" spans="1:19" x14ac:dyDescent="0.25">
      <c r="A218" s="21" t="s">
        <v>366</v>
      </c>
      <c r="B218" s="1" t="s">
        <v>11</v>
      </c>
      <c r="C218" s="21">
        <v>1033441</v>
      </c>
      <c r="D218" s="21" t="s">
        <v>310</v>
      </c>
      <c r="E218" s="21" t="s">
        <v>311</v>
      </c>
      <c r="F218" s="28" t="s">
        <v>815</v>
      </c>
      <c r="G218" s="1" t="s">
        <v>612</v>
      </c>
      <c r="H218" s="1"/>
      <c r="I218" s="11">
        <v>422</v>
      </c>
      <c r="J218" s="11"/>
      <c r="K218" s="27">
        <v>8.115384615384615</v>
      </c>
      <c r="L218" s="1">
        <v>25</v>
      </c>
      <c r="M218" s="1">
        <v>5</v>
      </c>
      <c r="N218" s="1">
        <v>0</v>
      </c>
      <c r="O218" s="1">
        <v>0</v>
      </c>
      <c r="P218" s="1">
        <v>0</v>
      </c>
      <c r="Q218" s="1"/>
      <c r="R218" s="1"/>
      <c r="S218" s="1"/>
    </row>
    <row r="219" spans="1:19" x14ac:dyDescent="0.25">
      <c r="A219" s="21" t="s">
        <v>366</v>
      </c>
      <c r="B219" s="1" t="s">
        <v>11</v>
      </c>
      <c r="C219" s="1">
        <v>1215370</v>
      </c>
      <c r="D219" s="1" t="s">
        <v>343</v>
      </c>
      <c r="E219" s="1" t="s">
        <v>344</v>
      </c>
      <c r="F219" s="28" t="s">
        <v>749</v>
      </c>
      <c r="G219" s="1" t="s">
        <v>654</v>
      </c>
      <c r="H219" s="1"/>
      <c r="I219" s="11">
        <v>20</v>
      </c>
      <c r="J219" s="11"/>
      <c r="K219" s="27">
        <v>0.38461538461538464</v>
      </c>
      <c r="L219" s="1">
        <v>2</v>
      </c>
      <c r="M219" s="1">
        <v>0</v>
      </c>
      <c r="N219" s="1">
        <v>0</v>
      </c>
      <c r="O219" s="1">
        <v>0</v>
      </c>
      <c r="P219" s="1">
        <v>0</v>
      </c>
      <c r="Q219" s="1"/>
      <c r="R219" s="1"/>
      <c r="S219" s="1"/>
    </row>
    <row r="220" spans="1:19" x14ac:dyDescent="0.25">
      <c r="A220" s="21" t="s">
        <v>366</v>
      </c>
      <c r="B220" s="1" t="s">
        <v>11</v>
      </c>
      <c r="C220" s="1">
        <v>1215361</v>
      </c>
      <c r="D220" s="1" t="s">
        <v>345</v>
      </c>
      <c r="E220" s="1" t="s">
        <v>346</v>
      </c>
      <c r="F220" s="28" t="s">
        <v>749</v>
      </c>
      <c r="G220" s="1" t="s">
        <v>607</v>
      </c>
      <c r="H220" s="1"/>
      <c r="I220" s="11">
        <v>62</v>
      </c>
      <c r="J220" s="11" t="s">
        <v>688</v>
      </c>
      <c r="K220" s="27">
        <v>1.1923076923076923</v>
      </c>
      <c r="L220" s="1">
        <v>5</v>
      </c>
      <c r="M220" s="1">
        <v>0</v>
      </c>
      <c r="N220" s="1">
        <v>0</v>
      </c>
      <c r="O220" s="1">
        <v>0</v>
      </c>
      <c r="P220" s="1">
        <v>0</v>
      </c>
      <c r="Q220" s="1"/>
      <c r="R220" s="1"/>
      <c r="S220" s="1"/>
    </row>
    <row r="221" spans="1:19" x14ac:dyDescent="0.25">
      <c r="A221" s="21" t="s">
        <v>366</v>
      </c>
      <c r="B221" s="1" t="s">
        <v>11</v>
      </c>
      <c r="C221" s="1">
        <v>1215353</v>
      </c>
      <c r="D221" s="1" t="s">
        <v>363</v>
      </c>
      <c r="E221" s="1" t="s">
        <v>364</v>
      </c>
      <c r="F221" s="28" t="s">
        <v>749</v>
      </c>
      <c r="G221" s="1" t="s">
        <v>612</v>
      </c>
      <c r="H221" s="1"/>
      <c r="I221" s="11">
        <v>48</v>
      </c>
      <c r="J221" s="11" t="s">
        <v>688</v>
      </c>
      <c r="K221" s="27">
        <v>0.92307692307692313</v>
      </c>
      <c r="L221" s="1">
        <v>5</v>
      </c>
      <c r="M221" s="1">
        <v>0</v>
      </c>
      <c r="N221" s="1">
        <v>0</v>
      </c>
      <c r="O221" s="1">
        <v>0</v>
      </c>
      <c r="P221" s="1">
        <v>0</v>
      </c>
      <c r="Q221" s="1"/>
      <c r="R221" s="1"/>
      <c r="S221" s="1"/>
    </row>
    <row r="222" spans="1:19" x14ac:dyDescent="0.25">
      <c r="A222" s="21" t="s">
        <v>366</v>
      </c>
      <c r="B222" s="1" t="s">
        <v>50</v>
      </c>
      <c r="C222" s="21">
        <v>1136984</v>
      </c>
      <c r="D222" s="21" t="s">
        <v>51</v>
      </c>
      <c r="E222" s="21" t="s">
        <v>52</v>
      </c>
      <c r="F222" s="28" t="s">
        <v>767</v>
      </c>
      <c r="G222" s="1" t="s">
        <v>599</v>
      </c>
      <c r="H222" s="1"/>
      <c r="I222" s="11">
        <v>85</v>
      </c>
      <c r="J222" s="11" t="s">
        <v>688</v>
      </c>
      <c r="K222" s="27">
        <v>1.6346153846153846</v>
      </c>
      <c r="L222" s="1">
        <v>5</v>
      </c>
      <c r="M222" s="1">
        <v>0</v>
      </c>
      <c r="N222" s="1">
        <v>0</v>
      </c>
      <c r="O222" s="1">
        <v>0</v>
      </c>
      <c r="P222" s="1">
        <v>0</v>
      </c>
      <c r="Q222" s="1"/>
      <c r="R222" s="1"/>
      <c r="S222" s="1"/>
    </row>
    <row r="223" spans="1:19" x14ac:dyDescent="0.25">
      <c r="A223" s="21" t="s">
        <v>366</v>
      </c>
      <c r="B223" s="1" t="s">
        <v>50</v>
      </c>
      <c r="C223" s="1">
        <v>1054678</v>
      </c>
      <c r="D223" s="1" t="s">
        <v>76</v>
      </c>
      <c r="E223" s="1" t="s">
        <v>77</v>
      </c>
      <c r="F223" s="28" t="s">
        <v>765</v>
      </c>
      <c r="G223" s="1" t="s">
        <v>612</v>
      </c>
      <c r="H223" s="1"/>
      <c r="I223" s="11">
        <v>86</v>
      </c>
      <c r="J223" s="11" t="s">
        <v>688</v>
      </c>
      <c r="K223" s="27">
        <v>1.6538461538461537</v>
      </c>
      <c r="L223" s="1">
        <v>5</v>
      </c>
      <c r="M223" s="1">
        <v>2</v>
      </c>
      <c r="N223" s="1">
        <v>2</v>
      </c>
      <c r="O223" s="1">
        <v>2</v>
      </c>
      <c r="P223" s="1">
        <v>2</v>
      </c>
      <c r="Q223" s="1"/>
      <c r="R223" s="1"/>
      <c r="S223" s="1"/>
    </row>
    <row r="224" spans="1:19" x14ac:dyDescent="0.25">
      <c r="A224" s="21" t="s">
        <v>366</v>
      </c>
      <c r="B224" s="1" t="s">
        <v>50</v>
      </c>
      <c r="C224" s="1">
        <v>1397478</v>
      </c>
      <c r="D224" s="1" t="s">
        <v>98</v>
      </c>
      <c r="E224" s="1" t="s">
        <v>99</v>
      </c>
      <c r="F224" s="28" t="s">
        <v>816</v>
      </c>
      <c r="G224" s="1" t="s">
        <v>607</v>
      </c>
      <c r="H224" s="1"/>
      <c r="I224" s="11">
        <v>20</v>
      </c>
      <c r="J224" s="11"/>
      <c r="K224" s="27">
        <v>0.38461538461538464</v>
      </c>
      <c r="L224" s="1">
        <v>2</v>
      </c>
      <c r="M224" s="1">
        <v>0</v>
      </c>
      <c r="N224" s="1">
        <v>0</v>
      </c>
      <c r="O224" s="1">
        <v>0</v>
      </c>
      <c r="P224" s="1">
        <v>0</v>
      </c>
      <c r="Q224" s="1"/>
      <c r="R224" s="1"/>
      <c r="S224" s="1"/>
    </row>
    <row r="225" spans="1:19" x14ac:dyDescent="0.25">
      <c r="A225" s="21" t="s">
        <v>366</v>
      </c>
      <c r="B225" s="1" t="s">
        <v>50</v>
      </c>
      <c r="C225" s="1">
        <v>1397486</v>
      </c>
      <c r="D225" s="1" t="s">
        <v>112</v>
      </c>
      <c r="E225" s="1" t="s">
        <v>113</v>
      </c>
      <c r="F225" s="28" t="s">
        <v>816</v>
      </c>
      <c r="G225" s="1" t="s">
        <v>620</v>
      </c>
      <c r="H225" s="1"/>
      <c r="I225" s="11">
        <v>3</v>
      </c>
      <c r="J225" s="11"/>
      <c r="K225" s="27">
        <v>5.7692307692307696E-2</v>
      </c>
      <c r="L225" s="1">
        <v>2</v>
      </c>
      <c r="M225" s="1">
        <v>0</v>
      </c>
      <c r="N225" s="1">
        <v>0</v>
      </c>
      <c r="O225" s="1">
        <v>0</v>
      </c>
      <c r="P225" s="1">
        <v>0</v>
      </c>
      <c r="Q225" s="1"/>
      <c r="R225" s="1"/>
      <c r="S225" s="1"/>
    </row>
    <row r="226" spans="1:19" x14ac:dyDescent="0.25">
      <c r="A226" s="21" t="s">
        <v>366</v>
      </c>
      <c r="B226" s="1" t="s">
        <v>50</v>
      </c>
      <c r="C226" s="1">
        <v>1397494</v>
      </c>
      <c r="D226" s="1" t="s">
        <v>116</v>
      </c>
      <c r="E226" s="1" t="s">
        <v>117</v>
      </c>
      <c r="F226" s="28" t="s">
        <v>816</v>
      </c>
      <c r="G226" s="1" t="s">
        <v>616</v>
      </c>
      <c r="H226" s="1"/>
      <c r="I226" s="11">
        <v>64</v>
      </c>
      <c r="J226" s="11"/>
      <c r="K226" s="27">
        <v>1.2307692307692308</v>
      </c>
      <c r="L226" s="1">
        <v>5</v>
      </c>
      <c r="M226" s="1">
        <v>0</v>
      </c>
      <c r="N226" s="1">
        <v>0</v>
      </c>
      <c r="O226" s="1">
        <v>0</v>
      </c>
      <c r="P226" s="1">
        <v>0</v>
      </c>
      <c r="Q226" s="1"/>
      <c r="R226" s="1"/>
      <c r="S226" s="1"/>
    </row>
    <row r="227" spans="1:19" x14ac:dyDescent="0.25">
      <c r="A227" s="21" t="s">
        <v>366</v>
      </c>
      <c r="B227" s="1" t="s">
        <v>50</v>
      </c>
      <c r="C227" s="1">
        <v>1397508</v>
      </c>
      <c r="D227" s="1" t="s">
        <v>122</v>
      </c>
      <c r="E227" s="1" t="s">
        <v>123</v>
      </c>
      <c r="F227" s="28" t="s">
        <v>816</v>
      </c>
      <c r="G227" s="1" t="s">
        <v>607</v>
      </c>
      <c r="H227" s="1"/>
      <c r="I227" s="11">
        <v>32</v>
      </c>
      <c r="J227" s="11"/>
      <c r="K227" s="27">
        <v>0.61538461538461542</v>
      </c>
      <c r="L227" s="1">
        <v>5</v>
      </c>
      <c r="M227" s="1">
        <v>0</v>
      </c>
      <c r="N227" s="1">
        <v>0</v>
      </c>
      <c r="O227" s="1">
        <v>0</v>
      </c>
      <c r="P227" s="1">
        <v>0</v>
      </c>
      <c r="Q227" s="1"/>
      <c r="R227" s="1"/>
      <c r="S227" s="1"/>
    </row>
    <row r="228" spans="1:19" x14ac:dyDescent="0.25">
      <c r="A228" s="21" t="s">
        <v>366</v>
      </c>
      <c r="B228" s="1" t="s">
        <v>50</v>
      </c>
      <c r="C228" s="1">
        <v>1397516</v>
      </c>
      <c r="D228" s="1" t="s">
        <v>168</v>
      </c>
      <c r="E228" s="1" t="s">
        <v>169</v>
      </c>
      <c r="F228" s="28" t="s">
        <v>816</v>
      </c>
      <c r="G228" s="1" t="s">
        <v>620</v>
      </c>
      <c r="H228" s="1"/>
      <c r="I228" s="11">
        <v>24</v>
      </c>
      <c r="J228" s="11"/>
      <c r="K228" s="27">
        <v>0.46153846153846156</v>
      </c>
      <c r="L228" s="1">
        <v>2</v>
      </c>
      <c r="M228" s="1">
        <v>0</v>
      </c>
      <c r="N228" s="1">
        <v>0</v>
      </c>
      <c r="O228" s="1">
        <v>0</v>
      </c>
      <c r="P228" s="1">
        <v>0</v>
      </c>
      <c r="Q228" s="1"/>
      <c r="R228" s="1"/>
      <c r="S228" s="1"/>
    </row>
    <row r="229" spans="1:19" x14ac:dyDescent="0.25">
      <c r="A229" s="21" t="s">
        <v>366</v>
      </c>
      <c r="B229" s="1" t="s">
        <v>50</v>
      </c>
      <c r="C229" s="1">
        <v>1053205</v>
      </c>
      <c r="D229" s="1" t="s">
        <v>172</v>
      </c>
      <c r="E229" s="1" t="s">
        <v>173</v>
      </c>
      <c r="F229" s="28" t="s">
        <v>731</v>
      </c>
      <c r="G229" s="1" t="s">
        <v>610</v>
      </c>
      <c r="H229" s="1"/>
      <c r="I229" s="11">
        <v>57</v>
      </c>
      <c r="J229" s="11" t="s">
        <v>688</v>
      </c>
      <c r="K229" s="27">
        <v>1.0961538461538463</v>
      </c>
      <c r="L229" s="1">
        <v>5</v>
      </c>
      <c r="M229" s="1">
        <v>5</v>
      </c>
      <c r="N229" s="1">
        <v>5</v>
      </c>
      <c r="O229" s="1">
        <v>5</v>
      </c>
      <c r="P229" s="1">
        <v>4</v>
      </c>
      <c r="Q229" s="1"/>
      <c r="R229" s="1"/>
      <c r="S229" s="1"/>
    </row>
    <row r="230" spans="1:19" x14ac:dyDescent="0.25">
      <c r="A230" s="21" t="s">
        <v>366</v>
      </c>
      <c r="B230" s="1" t="s">
        <v>50</v>
      </c>
      <c r="C230" s="1">
        <v>1053213</v>
      </c>
      <c r="D230" s="1" t="s">
        <v>204</v>
      </c>
      <c r="E230" s="1" t="s">
        <v>205</v>
      </c>
      <c r="F230" s="28" t="s">
        <v>752</v>
      </c>
      <c r="G230" s="1" t="s">
        <v>610</v>
      </c>
      <c r="H230" s="1"/>
      <c r="I230" s="11">
        <v>68</v>
      </c>
      <c r="J230" s="11" t="s">
        <v>688</v>
      </c>
      <c r="K230" s="27">
        <v>1.3076923076923077</v>
      </c>
      <c r="L230" s="1">
        <v>5</v>
      </c>
      <c r="M230" s="1">
        <v>35</v>
      </c>
      <c r="N230" s="1">
        <v>35</v>
      </c>
      <c r="O230" s="1">
        <v>35</v>
      </c>
      <c r="P230" s="1">
        <v>35</v>
      </c>
      <c r="Q230" s="1"/>
      <c r="R230" s="1"/>
      <c r="S230" s="1"/>
    </row>
    <row r="231" spans="1:19" x14ac:dyDescent="0.25">
      <c r="A231" s="21" t="s">
        <v>366</v>
      </c>
      <c r="B231" s="1" t="s">
        <v>50</v>
      </c>
      <c r="C231" s="1">
        <v>1215310</v>
      </c>
      <c r="D231" s="1" t="s">
        <v>210</v>
      </c>
      <c r="E231" s="1" t="s">
        <v>211</v>
      </c>
      <c r="F231" s="28" t="s">
        <v>721</v>
      </c>
      <c r="G231" s="1" t="s">
        <v>618</v>
      </c>
      <c r="H231" s="1"/>
      <c r="I231" s="11">
        <v>46</v>
      </c>
      <c r="J231" s="11" t="s">
        <v>688</v>
      </c>
      <c r="K231" s="27">
        <v>0.88461538461538458</v>
      </c>
      <c r="L231" s="1">
        <v>5</v>
      </c>
      <c r="M231" s="1">
        <v>3</v>
      </c>
      <c r="N231" s="1">
        <v>3</v>
      </c>
      <c r="O231" s="1">
        <v>3</v>
      </c>
      <c r="P231" s="1">
        <v>3</v>
      </c>
      <c r="Q231" s="1"/>
      <c r="R231" s="1"/>
      <c r="S231" s="1"/>
    </row>
    <row r="232" spans="1:19" x14ac:dyDescent="0.25">
      <c r="A232" s="21" t="s">
        <v>366</v>
      </c>
      <c r="B232" s="1" t="s">
        <v>50</v>
      </c>
      <c r="C232" s="1">
        <v>1215302</v>
      </c>
      <c r="D232" s="1" t="s">
        <v>258</v>
      </c>
      <c r="E232" s="1" t="s">
        <v>259</v>
      </c>
      <c r="F232" s="28" t="s">
        <v>721</v>
      </c>
      <c r="G232" s="1" t="s">
        <v>599</v>
      </c>
      <c r="H232" s="1"/>
      <c r="I232" s="11">
        <v>39</v>
      </c>
      <c r="J232" s="11" t="s">
        <v>688</v>
      </c>
      <c r="K232" s="27">
        <v>0.75</v>
      </c>
      <c r="L232" s="1">
        <v>5</v>
      </c>
      <c r="M232" s="1">
        <v>5</v>
      </c>
      <c r="N232" s="1">
        <v>5</v>
      </c>
      <c r="O232" s="1">
        <v>5</v>
      </c>
      <c r="P232" s="1">
        <v>5</v>
      </c>
      <c r="Q232" s="1"/>
      <c r="R232" s="1"/>
      <c r="S232" s="1"/>
    </row>
    <row r="233" spans="1:19" x14ac:dyDescent="0.25">
      <c r="A233" s="21" t="s">
        <v>366</v>
      </c>
      <c r="B233" s="1" t="s">
        <v>50</v>
      </c>
      <c r="C233" s="1">
        <v>1215299</v>
      </c>
      <c r="D233" s="1" t="s">
        <v>331</v>
      </c>
      <c r="E233" s="1" t="s">
        <v>332</v>
      </c>
      <c r="F233" s="28" t="s">
        <v>721</v>
      </c>
      <c r="G233" s="1" t="s">
        <v>635</v>
      </c>
      <c r="H233" s="1"/>
      <c r="I233" s="11">
        <v>50</v>
      </c>
      <c r="J233" s="11" t="s">
        <v>688</v>
      </c>
      <c r="K233" s="27">
        <v>0.96153846153846156</v>
      </c>
      <c r="L233" s="1">
        <v>5</v>
      </c>
      <c r="M233" s="1">
        <v>1</v>
      </c>
      <c r="N233" s="1">
        <v>1</v>
      </c>
      <c r="O233" s="1">
        <v>1</v>
      </c>
      <c r="P233" s="1">
        <v>1</v>
      </c>
      <c r="Q233" s="1"/>
      <c r="R233" s="1"/>
      <c r="S233" s="1"/>
    </row>
    <row r="234" spans="1:19" x14ac:dyDescent="0.25">
      <c r="A234" s="21" t="s">
        <v>366</v>
      </c>
      <c r="B234" s="1" t="s">
        <v>32</v>
      </c>
      <c r="C234" s="1">
        <v>1137000</v>
      </c>
      <c r="D234" s="1" t="s">
        <v>33</v>
      </c>
      <c r="E234" s="1" t="s">
        <v>34</v>
      </c>
      <c r="F234" s="28" t="s">
        <v>751</v>
      </c>
      <c r="G234" s="1" t="s">
        <v>606</v>
      </c>
      <c r="H234" s="1"/>
      <c r="I234" s="11">
        <v>41</v>
      </c>
      <c r="J234" s="11" t="s">
        <v>688</v>
      </c>
      <c r="K234" s="27">
        <v>0.78846153846153844</v>
      </c>
      <c r="L234" s="1">
        <v>5</v>
      </c>
      <c r="M234" s="1">
        <v>100</v>
      </c>
      <c r="N234" s="1">
        <v>100</v>
      </c>
      <c r="O234" s="1">
        <v>100</v>
      </c>
      <c r="P234" s="1">
        <v>100</v>
      </c>
      <c r="Q234" s="1"/>
      <c r="R234" s="1"/>
      <c r="S234" s="1"/>
    </row>
    <row r="235" spans="1:19" x14ac:dyDescent="0.25">
      <c r="A235" s="21" t="s">
        <v>366</v>
      </c>
      <c r="B235" s="1" t="s">
        <v>32</v>
      </c>
      <c r="C235" s="1">
        <v>1137018</v>
      </c>
      <c r="D235" s="1" t="s">
        <v>92</v>
      </c>
      <c r="E235" s="1" t="s">
        <v>93</v>
      </c>
      <c r="F235" s="28" t="s">
        <v>817</v>
      </c>
      <c r="G235" s="1" t="s">
        <v>611</v>
      </c>
      <c r="H235" s="1"/>
      <c r="I235" s="11">
        <v>204</v>
      </c>
      <c r="J235" s="11" t="s">
        <v>688</v>
      </c>
      <c r="K235" s="27">
        <v>3.9230769230769229</v>
      </c>
      <c r="L235" s="1">
        <v>10</v>
      </c>
      <c r="M235" s="1">
        <v>0</v>
      </c>
      <c r="N235" s="1">
        <v>0</v>
      </c>
      <c r="O235" s="1">
        <v>0</v>
      </c>
      <c r="P235" s="1">
        <v>0</v>
      </c>
      <c r="Q235" s="1"/>
      <c r="R235" s="1"/>
      <c r="S235" s="1"/>
    </row>
    <row r="236" spans="1:19" x14ac:dyDescent="0.25">
      <c r="A236" s="21" t="s">
        <v>366</v>
      </c>
      <c r="B236" s="1" t="s">
        <v>32</v>
      </c>
      <c r="C236" s="1">
        <v>1038419</v>
      </c>
      <c r="D236" s="1" t="s">
        <v>138</v>
      </c>
      <c r="E236" s="1" t="s">
        <v>139</v>
      </c>
      <c r="F236" s="28" t="s">
        <v>735</v>
      </c>
      <c r="G236" s="1" t="s">
        <v>610</v>
      </c>
      <c r="H236" s="1"/>
      <c r="I236" s="11">
        <v>76</v>
      </c>
      <c r="J236" s="11" t="s">
        <v>688</v>
      </c>
      <c r="K236" s="27">
        <v>1.4615384615384615</v>
      </c>
      <c r="L236" s="1">
        <v>5</v>
      </c>
      <c r="M236" s="1">
        <v>5</v>
      </c>
      <c r="N236" s="1">
        <v>5</v>
      </c>
      <c r="O236" s="1">
        <v>0</v>
      </c>
      <c r="P236" s="1">
        <v>0</v>
      </c>
      <c r="Q236" s="1"/>
      <c r="R236" s="1"/>
      <c r="S236" s="1"/>
    </row>
    <row r="237" spans="1:19" x14ac:dyDescent="0.25">
      <c r="A237" s="21" t="s">
        <v>366</v>
      </c>
      <c r="B237" s="1" t="s">
        <v>32</v>
      </c>
      <c r="C237" s="1">
        <v>1307517</v>
      </c>
      <c r="D237" s="1" t="s">
        <v>150</v>
      </c>
      <c r="E237" s="1" t="s">
        <v>151</v>
      </c>
      <c r="F237" s="28" t="s">
        <v>737</v>
      </c>
      <c r="G237" s="1" t="s">
        <v>623</v>
      </c>
      <c r="H237" s="1"/>
      <c r="I237" s="11">
        <v>0</v>
      </c>
      <c r="J237" s="11"/>
      <c r="K237" s="11">
        <v>0</v>
      </c>
      <c r="L237" s="1">
        <v>2</v>
      </c>
      <c r="M237" s="1">
        <v>1</v>
      </c>
      <c r="N237" s="1">
        <v>1</v>
      </c>
      <c r="O237" s="1">
        <v>0</v>
      </c>
      <c r="P237" s="1">
        <v>0</v>
      </c>
      <c r="Q237" s="1"/>
      <c r="R237" s="1"/>
      <c r="S237" s="1"/>
    </row>
    <row r="238" spans="1:19" x14ac:dyDescent="0.25">
      <c r="A238" s="21" t="s">
        <v>366</v>
      </c>
      <c r="B238" s="1" t="s">
        <v>32</v>
      </c>
      <c r="C238" s="1">
        <v>1307509</v>
      </c>
      <c r="D238" s="1" t="s">
        <v>160</v>
      </c>
      <c r="E238" s="1" t="s">
        <v>161</v>
      </c>
      <c r="F238" s="28" t="s">
        <v>737</v>
      </c>
      <c r="G238" s="1" t="s">
        <v>606</v>
      </c>
      <c r="H238" s="1"/>
      <c r="I238" s="11">
        <v>4</v>
      </c>
      <c r="J238" s="11" t="s">
        <v>688</v>
      </c>
      <c r="K238" s="27">
        <v>7.6923076923076927E-2</v>
      </c>
      <c r="L238" s="1">
        <v>2</v>
      </c>
      <c r="M238" s="1">
        <v>1</v>
      </c>
      <c r="N238" s="1">
        <v>1</v>
      </c>
      <c r="O238" s="1">
        <v>1</v>
      </c>
      <c r="P238" s="1">
        <v>1</v>
      </c>
      <c r="Q238" s="1"/>
      <c r="R238" s="1"/>
      <c r="S238" s="1"/>
    </row>
    <row r="239" spans="1:19" x14ac:dyDescent="0.25">
      <c r="A239" s="21" t="s">
        <v>366</v>
      </c>
      <c r="B239" s="1" t="s">
        <v>32</v>
      </c>
      <c r="C239" s="1">
        <v>1307495</v>
      </c>
      <c r="D239" s="1" t="s">
        <v>190</v>
      </c>
      <c r="E239" s="1" t="s">
        <v>191</v>
      </c>
      <c r="F239" s="28" t="s">
        <v>737</v>
      </c>
      <c r="G239" s="1" t="s">
        <v>615</v>
      </c>
      <c r="H239" s="1"/>
      <c r="I239" s="11">
        <v>22</v>
      </c>
      <c r="J239" s="11" t="s">
        <v>688</v>
      </c>
      <c r="K239" s="27">
        <v>0.42307692307692307</v>
      </c>
      <c r="L239" s="1">
        <v>2</v>
      </c>
      <c r="M239" s="1">
        <v>1</v>
      </c>
      <c r="N239" s="1">
        <v>1</v>
      </c>
      <c r="O239" s="1">
        <v>1</v>
      </c>
      <c r="P239" s="1">
        <v>0</v>
      </c>
      <c r="Q239" s="1"/>
      <c r="R239" s="1"/>
      <c r="S239" s="1"/>
    </row>
    <row r="240" spans="1:19" x14ac:dyDescent="0.25">
      <c r="A240" s="21" t="s">
        <v>366</v>
      </c>
      <c r="B240" s="1" t="s">
        <v>32</v>
      </c>
      <c r="C240" s="1">
        <v>1373013</v>
      </c>
      <c r="D240" s="1" t="s">
        <v>200</v>
      </c>
      <c r="E240" s="1" t="s">
        <v>201</v>
      </c>
      <c r="F240" s="28" t="s">
        <v>745</v>
      </c>
      <c r="G240" s="1" t="s">
        <v>599</v>
      </c>
      <c r="H240" s="1"/>
      <c r="I240" s="11">
        <v>39</v>
      </c>
      <c r="J240" s="11" t="s">
        <v>688</v>
      </c>
      <c r="K240" s="27">
        <v>0.75</v>
      </c>
      <c r="L240" s="1">
        <v>5</v>
      </c>
      <c r="M240" s="1">
        <v>6</v>
      </c>
      <c r="N240" s="1">
        <v>3</v>
      </c>
      <c r="O240" s="1">
        <v>2</v>
      </c>
      <c r="P240" s="1">
        <v>0</v>
      </c>
      <c r="Q240" s="1"/>
      <c r="R240" s="1"/>
      <c r="S240" s="1"/>
    </row>
    <row r="241" spans="1:19" x14ac:dyDescent="0.25">
      <c r="A241" s="21" t="s">
        <v>366</v>
      </c>
      <c r="B241" s="1" t="s">
        <v>32</v>
      </c>
      <c r="C241" s="1">
        <v>1307428</v>
      </c>
      <c r="D241" s="1" t="s">
        <v>216</v>
      </c>
      <c r="E241" s="1" t="s">
        <v>217</v>
      </c>
      <c r="F241" s="28" t="s">
        <v>818</v>
      </c>
      <c r="G241" s="1" t="s">
        <v>623</v>
      </c>
      <c r="H241" s="1"/>
      <c r="I241" s="11">
        <v>28</v>
      </c>
      <c r="J241" s="11"/>
      <c r="K241" s="27">
        <v>0.53846153846153844</v>
      </c>
      <c r="L241" s="1">
        <v>2</v>
      </c>
      <c r="M241" s="1">
        <v>0</v>
      </c>
      <c r="N241" s="1">
        <v>0</v>
      </c>
      <c r="O241" s="1">
        <v>0</v>
      </c>
      <c r="P241" s="1">
        <v>0</v>
      </c>
      <c r="Q241" s="1"/>
      <c r="R241" s="1"/>
      <c r="S241" s="1"/>
    </row>
    <row r="242" spans="1:19" x14ac:dyDescent="0.25">
      <c r="A242" s="21" t="s">
        <v>366</v>
      </c>
      <c r="B242" s="1" t="s">
        <v>32</v>
      </c>
      <c r="C242" s="1">
        <v>1307410</v>
      </c>
      <c r="D242" s="1" t="s">
        <v>290</v>
      </c>
      <c r="E242" s="1" t="s">
        <v>291</v>
      </c>
      <c r="F242" s="28" t="s">
        <v>818</v>
      </c>
      <c r="G242" s="1" t="s">
        <v>606</v>
      </c>
      <c r="H242" s="1"/>
      <c r="I242" s="11">
        <v>4</v>
      </c>
      <c r="J242" s="11"/>
      <c r="K242" s="27">
        <v>7.6923076923076927E-2</v>
      </c>
      <c r="L242" s="1">
        <v>2</v>
      </c>
      <c r="M242" s="1">
        <v>1</v>
      </c>
      <c r="N242" s="1">
        <v>1</v>
      </c>
      <c r="O242" s="1">
        <v>1</v>
      </c>
      <c r="P242" s="1">
        <v>1</v>
      </c>
      <c r="Q242" s="1"/>
      <c r="R242" s="1"/>
      <c r="S242" s="1"/>
    </row>
    <row r="243" spans="1:19" x14ac:dyDescent="0.25">
      <c r="A243" s="21" t="s">
        <v>366</v>
      </c>
      <c r="B243" s="1" t="s">
        <v>32</v>
      </c>
      <c r="C243" s="1">
        <v>1307401</v>
      </c>
      <c r="D243" s="1" t="s">
        <v>292</v>
      </c>
      <c r="E243" s="1" t="s">
        <v>293</v>
      </c>
      <c r="F243" s="28" t="s">
        <v>818</v>
      </c>
      <c r="G243" s="1" t="s">
        <v>610</v>
      </c>
      <c r="H243" s="1"/>
      <c r="I243" s="11">
        <v>0</v>
      </c>
      <c r="J243" s="11"/>
      <c r="K243" s="11">
        <v>0</v>
      </c>
      <c r="L243" s="1">
        <v>2</v>
      </c>
      <c r="M243" s="1">
        <v>0</v>
      </c>
      <c r="N243" s="1">
        <v>0</v>
      </c>
      <c r="O243" s="1">
        <v>0</v>
      </c>
      <c r="P243" s="1">
        <v>0</v>
      </c>
      <c r="Q243" s="1"/>
      <c r="R243" s="1"/>
      <c r="S243" s="1"/>
    </row>
    <row r="244" spans="1:19" x14ac:dyDescent="0.25">
      <c r="A244" s="21" t="s">
        <v>366</v>
      </c>
      <c r="B244" s="1" t="s">
        <v>32</v>
      </c>
      <c r="C244" s="1">
        <v>1215523</v>
      </c>
      <c r="D244" s="1" t="s">
        <v>333</v>
      </c>
      <c r="E244" s="1" t="s">
        <v>334</v>
      </c>
      <c r="F244" s="28" t="s">
        <v>819</v>
      </c>
      <c r="G244" s="1" t="s">
        <v>623</v>
      </c>
      <c r="H244" s="1"/>
      <c r="I244" s="11">
        <v>8</v>
      </c>
      <c r="J244" s="11"/>
      <c r="K244" s="27">
        <v>0.15384615384615385</v>
      </c>
      <c r="L244" s="1">
        <v>2</v>
      </c>
      <c r="M244" s="1">
        <v>0</v>
      </c>
      <c r="N244" s="1">
        <v>0</v>
      </c>
      <c r="O244" s="1">
        <v>0</v>
      </c>
      <c r="P244" s="1">
        <v>0</v>
      </c>
      <c r="Q244" s="1"/>
      <c r="R244" s="1"/>
      <c r="S244" s="1"/>
    </row>
    <row r="245" spans="1:19" x14ac:dyDescent="0.25">
      <c r="A245" s="21" t="s">
        <v>366</v>
      </c>
      <c r="B245" s="1" t="s">
        <v>32</v>
      </c>
      <c r="C245" s="1">
        <v>1215515</v>
      </c>
      <c r="D245" s="1" t="s">
        <v>337</v>
      </c>
      <c r="E245" s="1" t="s">
        <v>338</v>
      </c>
      <c r="F245" s="28" t="s">
        <v>819</v>
      </c>
      <c r="G245" s="1" t="s">
        <v>606</v>
      </c>
      <c r="H245" s="1"/>
      <c r="I245" s="11">
        <v>0</v>
      </c>
      <c r="J245" s="11"/>
      <c r="K245" s="11">
        <v>0</v>
      </c>
      <c r="L245" s="1">
        <v>2</v>
      </c>
      <c r="M245" s="1">
        <v>0</v>
      </c>
      <c r="N245" s="1">
        <v>0</v>
      </c>
      <c r="O245" s="1">
        <v>0</v>
      </c>
      <c r="P245" s="1">
        <v>0</v>
      </c>
      <c r="Q245" s="1"/>
      <c r="R245" s="1"/>
      <c r="S245" s="1"/>
    </row>
    <row r="246" spans="1:19" x14ac:dyDescent="0.25">
      <c r="A246" s="21" t="s">
        <v>366</v>
      </c>
      <c r="B246" s="1" t="s">
        <v>32</v>
      </c>
      <c r="C246" s="1">
        <v>1215507</v>
      </c>
      <c r="D246" s="1" t="s">
        <v>347</v>
      </c>
      <c r="E246" s="1" t="s">
        <v>348</v>
      </c>
      <c r="F246" s="28" t="s">
        <v>819</v>
      </c>
      <c r="G246" s="1" t="s">
        <v>615</v>
      </c>
      <c r="H246" s="1"/>
      <c r="I246" s="11">
        <v>46</v>
      </c>
      <c r="J246" s="11"/>
      <c r="K246" s="27">
        <v>0.88461538461538458</v>
      </c>
      <c r="L246" s="1">
        <v>5</v>
      </c>
      <c r="M246" s="1">
        <v>0</v>
      </c>
      <c r="N246" s="1">
        <v>0</v>
      </c>
      <c r="O246" s="1">
        <v>0</v>
      </c>
      <c r="P246" s="1">
        <v>0</v>
      </c>
      <c r="Q246" s="1"/>
      <c r="R246" s="1"/>
      <c r="S246" s="1"/>
    </row>
    <row r="247" spans="1:19" x14ac:dyDescent="0.25">
      <c r="A247" s="21" t="s">
        <v>366</v>
      </c>
      <c r="B247" s="1" t="s">
        <v>32</v>
      </c>
      <c r="C247" s="1">
        <v>1215558</v>
      </c>
      <c r="D247" s="1" t="s">
        <v>349</v>
      </c>
      <c r="E247" s="1" t="s">
        <v>350</v>
      </c>
      <c r="F247" s="28" t="s">
        <v>819</v>
      </c>
      <c r="G247" s="1" t="s">
        <v>625</v>
      </c>
      <c r="H247" s="1"/>
      <c r="I247" s="11">
        <v>60</v>
      </c>
      <c r="J247" s="11"/>
      <c r="K247" s="27">
        <v>1.1538461538461537</v>
      </c>
      <c r="L247" s="1">
        <v>5</v>
      </c>
      <c r="M247" s="1">
        <v>0</v>
      </c>
      <c r="N247" s="1">
        <v>0</v>
      </c>
      <c r="O247" s="1">
        <v>0</v>
      </c>
      <c r="P247" s="1">
        <v>0</v>
      </c>
      <c r="Q247" s="1"/>
      <c r="R247" s="1"/>
      <c r="S247" s="1"/>
    </row>
    <row r="248" spans="1:19" x14ac:dyDescent="0.25">
      <c r="A248" s="21" t="s">
        <v>366</v>
      </c>
      <c r="B248" s="1" t="s">
        <v>32</v>
      </c>
      <c r="C248" s="1">
        <v>1215540</v>
      </c>
      <c r="D248" s="1" t="s">
        <v>351</v>
      </c>
      <c r="E248" s="1" t="s">
        <v>352</v>
      </c>
      <c r="F248" s="28" t="s">
        <v>819</v>
      </c>
      <c r="G248" s="1" t="s">
        <v>641</v>
      </c>
      <c r="H248" s="1"/>
      <c r="I248" s="11">
        <v>1</v>
      </c>
      <c r="J248" s="11"/>
      <c r="K248" s="27">
        <v>1.9230769230769232E-2</v>
      </c>
      <c r="L248" s="1">
        <v>2</v>
      </c>
      <c r="M248" s="1">
        <v>0</v>
      </c>
      <c r="N248" s="1">
        <v>0</v>
      </c>
      <c r="O248" s="1">
        <v>0</v>
      </c>
      <c r="P248" s="1">
        <v>0</v>
      </c>
      <c r="Q248" s="1"/>
      <c r="R248" s="1"/>
      <c r="S248" s="1"/>
    </row>
    <row r="249" spans="1:19" x14ac:dyDescent="0.25">
      <c r="A249" s="21" t="s">
        <v>366</v>
      </c>
      <c r="B249" s="1" t="s">
        <v>32</v>
      </c>
      <c r="C249" s="1">
        <v>1215531</v>
      </c>
      <c r="D249" s="1" t="s">
        <v>353</v>
      </c>
      <c r="E249" s="1" t="s">
        <v>354</v>
      </c>
      <c r="F249" s="28" t="s">
        <v>819</v>
      </c>
      <c r="G249" s="1" t="s">
        <v>611</v>
      </c>
      <c r="H249" s="1"/>
      <c r="I249" s="11">
        <v>0</v>
      </c>
      <c r="J249" s="11"/>
      <c r="K249" s="11">
        <v>0</v>
      </c>
      <c r="L249" s="1">
        <v>2</v>
      </c>
      <c r="M249" s="1">
        <v>0</v>
      </c>
      <c r="N249" s="1">
        <v>0</v>
      </c>
      <c r="O249" s="1">
        <v>0</v>
      </c>
      <c r="P249" s="1">
        <v>0</v>
      </c>
      <c r="Q249" s="1"/>
      <c r="R249" s="1"/>
      <c r="S249" s="1"/>
    </row>
    <row r="250" spans="1:19" x14ac:dyDescent="0.25">
      <c r="A250" s="21" t="s">
        <v>366</v>
      </c>
      <c r="B250" s="1" t="s">
        <v>32</v>
      </c>
      <c r="C250" s="1">
        <v>1033638</v>
      </c>
      <c r="D250" s="1" t="s">
        <v>355</v>
      </c>
      <c r="E250" s="1" t="s">
        <v>681</v>
      </c>
      <c r="F250" s="28" t="s">
        <v>723</v>
      </c>
      <c r="G250" s="1" t="s">
        <v>612</v>
      </c>
      <c r="H250" s="1"/>
      <c r="I250" s="11">
        <v>45</v>
      </c>
      <c r="J250" s="11" t="s">
        <v>688</v>
      </c>
      <c r="K250" s="27">
        <v>0.86538461538461542</v>
      </c>
      <c r="L250" s="1">
        <v>5</v>
      </c>
      <c r="M250" s="1">
        <v>50</v>
      </c>
      <c r="N250" s="1">
        <v>50</v>
      </c>
      <c r="O250" s="1">
        <v>50</v>
      </c>
      <c r="P250" s="1">
        <v>50</v>
      </c>
      <c r="Q250" s="1"/>
      <c r="R250" s="1"/>
      <c r="S250" s="1"/>
    </row>
    <row r="251" spans="1:19" x14ac:dyDescent="0.25">
      <c r="A251" s="23" t="s">
        <v>483</v>
      </c>
      <c r="B251" s="1" t="s">
        <v>395</v>
      </c>
      <c r="C251" s="1">
        <v>1215159</v>
      </c>
      <c r="D251" s="1" t="s">
        <v>396</v>
      </c>
      <c r="E251" s="1" t="s">
        <v>397</v>
      </c>
      <c r="F251" s="28" t="s">
        <v>820</v>
      </c>
      <c r="G251" s="1" t="s">
        <v>663</v>
      </c>
      <c r="H251" s="3"/>
      <c r="I251" s="11">
        <v>0</v>
      </c>
      <c r="J251" s="11"/>
      <c r="K251" s="11">
        <v>0</v>
      </c>
      <c r="L251" s="11">
        <v>2</v>
      </c>
      <c r="M251" s="11">
        <v>0</v>
      </c>
      <c r="N251" s="11">
        <v>0</v>
      </c>
      <c r="O251" s="11">
        <v>0</v>
      </c>
      <c r="P251" s="11">
        <v>0</v>
      </c>
      <c r="Q251" s="11"/>
      <c r="R251" s="11"/>
      <c r="S251" s="11"/>
    </row>
    <row r="252" spans="1:19" x14ac:dyDescent="0.25">
      <c r="A252" s="23" t="s">
        <v>483</v>
      </c>
      <c r="B252" s="1" t="s">
        <v>395</v>
      </c>
      <c r="C252" s="1">
        <v>1215140</v>
      </c>
      <c r="D252" s="1" t="s">
        <v>400</v>
      </c>
      <c r="E252" s="1" t="s">
        <v>401</v>
      </c>
      <c r="F252" s="28" t="s">
        <v>820</v>
      </c>
      <c r="G252" s="1" t="s">
        <v>639</v>
      </c>
      <c r="H252" s="3"/>
      <c r="I252" s="11">
        <v>131</v>
      </c>
      <c r="J252" s="11"/>
      <c r="K252" s="27">
        <v>2.5192307692307692</v>
      </c>
      <c r="L252" s="11">
        <v>5</v>
      </c>
      <c r="M252" s="11">
        <v>0</v>
      </c>
      <c r="N252" s="11">
        <v>0</v>
      </c>
      <c r="O252" s="11">
        <v>0</v>
      </c>
      <c r="P252" s="11">
        <v>0</v>
      </c>
      <c r="Q252" s="11"/>
      <c r="R252" s="11"/>
      <c r="S252" s="11"/>
    </row>
    <row r="253" spans="1:19" x14ac:dyDescent="0.25">
      <c r="A253" s="23" t="s">
        <v>483</v>
      </c>
      <c r="B253" s="1" t="s">
        <v>395</v>
      </c>
      <c r="C253" s="1">
        <v>1215132</v>
      </c>
      <c r="D253" s="1" t="s">
        <v>402</v>
      </c>
      <c r="E253" s="1" t="s">
        <v>403</v>
      </c>
      <c r="F253" s="28" t="s">
        <v>820</v>
      </c>
      <c r="G253" s="1" t="s">
        <v>612</v>
      </c>
      <c r="H253" s="3"/>
      <c r="I253" s="11">
        <v>125</v>
      </c>
      <c r="J253" s="11"/>
      <c r="K253" s="27">
        <v>2.4038461538461537</v>
      </c>
      <c r="L253" s="11">
        <v>5</v>
      </c>
      <c r="M253" s="11">
        <v>0</v>
      </c>
      <c r="N253" s="11">
        <v>0</v>
      </c>
      <c r="O253" s="11">
        <v>0</v>
      </c>
      <c r="P253" s="11">
        <v>0</v>
      </c>
      <c r="Q253" s="11"/>
      <c r="R253" s="11"/>
      <c r="S253" s="11"/>
    </row>
    <row r="254" spans="1:19" x14ac:dyDescent="0.25">
      <c r="A254" s="23" t="s">
        <v>483</v>
      </c>
      <c r="B254" s="1" t="s">
        <v>395</v>
      </c>
      <c r="C254" s="1">
        <v>1053183</v>
      </c>
      <c r="D254" s="1" t="s">
        <v>406</v>
      </c>
      <c r="E254" s="1" t="s">
        <v>407</v>
      </c>
      <c r="F254" s="28" t="s">
        <v>781</v>
      </c>
      <c r="G254" s="1" t="s">
        <v>663</v>
      </c>
      <c r="H254" s="3"/>
      <c r="I254" s="11">
        <v>93</v>
      </c>
      <c r="J254" s="11" t="s">
        <v>688</v>
      </c>
      <c r="K254" s="27">
        <v>1.7884615384615385</v>
      </c>
      <c r="L254" s="11">
        <v>5</v>
      </c>
      <c r="M254" s="11">
        <v>4</v>
      </c>
      <c r="N254" s="11">
        <v>4</v>
      </c>
      <c r="O254" s="11">
        <v>4</v>
      </c>
      <c r="P254" s="11">
        <v>4</v>
      </c>
      <c r="Q254" s="11"/>
      <c r="R254" s="11"/>
      <c r="S254" s="11"/>
    </row>
    <row r="255" spans="1:19" x14ac:dyDescent="0.25">
      <c r="A255" s="23" t="s">
        <v>483</v>
      </c>
      <c r="B255" s="1" t="s">
        <v>395</v>
      </c>
      <c r="C255" s="1">
        <v>1373137</v>
      </c>
      <c r="D255" s="1" t="s">
        <v>416</v>
      </c>
      <c r="E255" s="1" t="s">
        <v>417</v>
      </c>
      <c r="F255" s="28" t="s">
        <v>821</v>
      </c>
      <c r="G255" s="1" t="s">
        <v>607</v>
      </c>
      <c r="H255" s="3"/>
      <c r="I255" s="11">
        <v>134</v>
      </c>
      <c r="J255" s="11"/>
      <c r="K255" s="27">
        <v>2.5769230769230771</v>
      </c>
      <c r="L255" s="11">
        <v>5</v>
      </c>
      <c r="M255" s="11">
        <v>0</v>
      </c>
      <c r="N255" s="11">
        <v>0</v>
      </c>
      <c r="O255" s="11">
        <v>0</v>
      </c>
      <c r="P255" s="11">
        <v>0</v>
      </c>
      <c r="Q255" s="11"/>
      <c r="R255" s="11"/>
      <c r="S255" s="11"/>
    </row>
    <row r="256" spans="1:19" x14ac:dyDescent="0.25">
      <c r="A256" s="23" t="s">
        <v>483</v>
      </c>
      <c r="B256" s="1" t="s">
        <v>395</v>
      </c>
      <c r="C256" s="1">
        <v>1434349</v>
      </c>
      <c r="D256" s="1" t="s">
        <v>430</v>
      </c>
      <c r="E256" s="1" t="s">
        <v>431</v>
      </c>
      <c r="F256" s="28" t="s">
        <v>781</v>
      </c>
      <c r="G256" s="1" t="s">
        <v>668</v>
      </c>
      <c r="H256" s="3"/>
      <c r="I256" s="11">
        <v>58</v>
      </c>
      <c r="J256" s="11" t="s">
        <v>688</v>
      </c>
      <c r="K256" s="27">
        <v>1.1153846153846154</v>
      </c>
      <c r="L256" s="11">
        <v>5</v>
      </c>
      <c r="M256" s="11">
        <v>8</v>
      </c>
      <c r="N256" s="11">
        <v>8</v>
      </c>
      <c r="O256" s="11">
        <v>8</v>
      </c>
      <c r="P256" s="11">
        <v>8</v>
      </c>
      <c r="Q256" s="11"/>
      <c r="R256" s="11"/>
      <c r="S256" s="11"/>
    </row>
    <row r="257" spans="1:19" x14ac:dyDescent="0.25">
      <c r="A257" s="23" t="s">
        <v>483</v>
      </c>
      <c r="B257" s="1" t="s">
        <v>395</v>
      </c>
      <c r="C257" s="1">
        <v>1322907</v>
      </c>
      <c r="D257" s="1" t="s">
        <v>438</v>
      </c>
      <c r="E257" s="1" t="s">
        <v>439</v>
      </c>
      <c r="F257" s="28" t="s">
        <v>823</v>
      </c>
      <c r="G257" s="1" t="s">
        <v>610</v>
      </c>
      <c r="H257" s="3"/>
      <c r="I257" s="11">
        <v>0</v>
      </c>
      <c r="J257" s="11"/>
      <c r="K257" s="11">
        <v>0</v>
      </c>
      <c r="L257" s="11">
        <v>2</v>
      </c>
      <c r="M257" s="11">
        <v>0</v>
      </c>
      <c r="N257" s="11">
        <v>0</v>
      </c>
      <c r="O257" s="11">
        <v>0</v>
      </c>
      <c r="P257" s="11">
        <v>0</v>
      </c>
      <c r="Q257" s="11"/>
      <c r="R257" s="11"/>
      <c r="S257" s="11"/>
    </row>
    <row r="258" spans="1:19" x14ac:dyDescent="0.25">
      <c r="A258" s="23" t="s">
        <v>483</v>
      </c>
      <c r="B258" s="1" t="s">
        <v>395</v>
      </c>
      <c r="C258" s="1">
        <v>1322915</v>
      </c>
      <c r="D258" s="1" t="s">
        <v>442</v>
      </c>
      <c r="E258" s="1" t="s">
        <v>443</v>
      </c>
      <c r="F258" s="28" t="s">
        <v>823</v>
      </c>
      <c r="G258" s="1" t="s">
        <v>614</v>
      </c>
      <c r="H258" s="3"/>
      <c r="I258" s="11">
        <v>0</v>
      </c>
      <c r="J258" s="11"/>
      <c r="K258" s="11">
        <v>0</v>
      </c>
      <c r="L258" s="11">
        <v>2</v>
      </c>
      <c r="M258" s="11">
        <v>0</v>
      </c>
      <c r="N258" s="11">
        <v>0</v>
      </c>
      <c r="O258" s="11">
        <v>0</v>
      </c>
      <c r="P258" s="11">
        <v>0</v>
      </c>
      <c r="Q258" s="11"/>
      <c r="R258" s="11"/>
      <c r="S258" s="11"/>
    </row>
    <row r="259" spans="1:19" x14ac:dyDescent="0.25">
      <c r="A259" s="23" t="s">
        <v>483</v>
      </c>
      <c r="B259" s="1" t="s">
        <v>395</v>
      </c>
      <c r="C259" s="1">
        <v>1325213</v>
      </c>
      <c r="D259" s="1" t="s">
        <v>455</v>
      </c>
      <c r="E259" s="1" t="s">
        <v>456</v>
      </c>
      <c r="F259" s="28" t="s">
        <v>822</v>
      </c>
      <c r="G259" s="1" t="s">
        <v>610</v>
      </c>
      <c r="H259" s="3"/>
      <c r="I259" s="11">
        <v>0</v>
      </c>
      <c r="J259" s="11"/>
      <c r="K259" s="11">
        <v>0</v>
      </c>
      <c r="L259" s="11">
        <v>2</v>
      </c>
      <c r="M259" s="11">
        <v>0</v>
      </c>
      <c r="N259" s="11">
        <v>0</v>
      </c>
      <c r="O259" s="11">
        <v>0</v>
      </c>
      <c r="P259" s="11">
        <v>0</v>
      </c>
      <c r="Q259" s="11"/>
      <c r="R259" s="11"/>
      <c r="S259" s="11"/>
    </row>
    <row r="260" spans="1:19" x14ac:dyDescent="0.25">
      <c r="A260" s="23" t="s">
        <v>483</v>
      </c>
      <c r="B260" s="1" t="s">
        <v>395</v>
      </c>
      <c r="C260" s="1">
        <v>1322923</v>
      </c>
      <c r="D260" s="1" t="s">
        <v>461</v>
      </c>
      <c r="E260" s="1" t="s">
        <v>462</v>
      </c>
      <c r="F260" s="28" t="s">
        <v>823</v>
      </c>
      <c r="G260" s="1" t="s">
        <v>610</v>
      </c>
      <c r="H260" s="3"/>
      <c r="I260" s="11">
        <v>0</v>
      </c>
      <c r="J260" s="11"/>
      <c r="K260" s="11">
        <v>0</v>
      </c>
      <c r="L260" s="11">
        <v>2</v>
      </c>
      <c r="M260" s="11">
        <v>0</v>
      </c>
      <c r="N260" s="11">
        <v>0</v>
      </c>
      <c r="O260" s="11">
        <v>0</v>
      </c>
      <c r="P260" s="11">
        <v>0</v>
      </c>
      <c r="Q260" s="11"/>
      <c r="R260" s="11"/>
      <c r="S260" s="11"/>
    </row>
    <row r="261" spans="1:19" x14ac:dyDescent="0.25">
      <c r="A261" s="23" t="s">
        <v>483</v>
      </c>
      <c r="B261" s="1" t="s">
        <v>395</v>
      </c>
      <c r="C261" s="1">
        <v>1322869</v>
      </c>
      <c r="D261" s="1" t="s">
        <v>467</v>
      </c>
      <c r="E261" s="1" t="s">
        <v>468</v>
      </c>
      <c r="F261" s="28" t="s">
        <v>820</v>
      </c>
      <c r="G261" s="1" t="s">
        <v>672</v>
      </c>
      <c r="H261" s="3"/>
      <c r="I261" s="11">
        <v>0</v>
      </c>
      <c r="J261" s="11" t="s">
        <v>688</v>
      </c>
      <c r="K261" s="11">
        <v>0</v>
      </c>
      <c r="L261" s="11">
        <v>2</v>
      </c>
      <c r="M261" s="11">
        <v>0</v>
      </c>
      <c r="N261" s="11">
        <v>0</v>
      </c>
      <c r="O261" s="11">
        <v>0</v>
      </c>
      <c r="P261" s="11">
        <v>0</v>
      </c>
      <c r="Q261" s="11"/>
      <c r="R261" s="11"/>
      <c r="S261" s="11"/>
    </row>
    <row r="262" spans="1:19" x14ac:dyDescent="0.25">
      <c r="A262" s="23" t="s">
        <v>483</v>
      </c>
      <c r="B262" s="1" t="s">
        <v>395</v>
      </c>
      <c r="C262" s="1">
        <v>1323083</v>
      </c>
      <c r="D262" s="1" t="s">
        <v>471</v>
      </c>
      <c r="E262" s="1" t="s">
        <v>472</v>
      </c>
      <c r="F262" s="28" t="s">
        <v>822</v>
      </c>
      <c r="G262" s="1" t="s">
        <v>610</v>
      </c>
      <c r="H262" s="3"/>
      <c r="I262" s="11">
        <v>0</v>
      </c>
      <c r="J262" s="11"/>
      <c r="K262" s="11">
        <v>0</v>
      </c>
      <c r="L262" s="11">
        <v>2</v>
      </c>
      <c r="M262" s="11">
        <v>0</v>
      </c>
      <c r="N262" s="11">
        <v>0</v>
      </c>
      <c r="O262" s="11">
        <v>0</v>
      </c>
      <c r="P262" s="11">
        <v>0</v>
      </c>
      <c r="Q262" s="11"/>
      <c r="R262" s="11"/>
      <c r="S262" s="11"/>
    </row>
    <row r="263" spans="1:19" x14ac:dyDescent="0.25">
      <c r="A263" s="23" t="s">
        <v>483</v>
      </c>
      <c r="B263" s="1" t="s">
        <v>395</v>
      </c>
      <c r="C263" s="1">
        <v>1033719</v>
      </c>
      <c r="D263" s="1" t="s">
        <v>473</v>
      </c>
      <c r="E263" s="1" t="s">
        <v>474</v>
      </c>
      <c r="F263" s="28" t="s">
        <v>822</v>
      </c>
      <c r="G263" s="1" t="s">
        <v>623</v>
      </c>
      <c r="H263" s="3"/>
      <c r="I263" s="11">
        <v>0</v>
      </c>
      <c r="J263" s="11"/>
      <c r="K263" s="11">
        <v>0</v>
      </c>
      <c r="L263" s="11">
        <v>2</v>
      </c>
      <c r="M263" s="11">
        <v>0</v>
      </c>
      <c r="N263" s="11">
        <v>0</v>
      </c>
      <c r="O263" s="11">
        <v>0</v>
      </c>
      <c r="P263" s="11">
        <v>0</v>
      </c>
      <c r="Q263" s="11"/>
      <c r="R263" s="11"/>
      <c r="S263" s="11"/>
    </row>
    <row r="264" spans="1:19" x14ac:dyDescent="0.25">
      <c r="A264" s="23" t="s">
        <v>483</v>
      </c>
      <c r="B264" s="1" t="s">
        <v>395</v>
      </c>
      <c r="C264" s="1">
        <v>1033700</v>
      </c>
      <c r="D264" s="1" t="s">
        <v>475</v>
      </c>
      <c r="E264" s="1" t="s">
        <v>476</v>
      </c>
      <c r="F264" s="28" t="s">
        <v>822</v>
      </c>
      <c r="G264" s="1" t="s">
        <v>606</v>
      </c>
      <c r="H264" s="3"/>
      <c r="I264" s="11">
        <v>0</v>
      </c>
      <c r="J264" s="11"/>
      <c r="K264" s="11">
        <v>0</v>
      </c>
      <c r="L264" s="11">
        <v>2</v>
      </c>
      <c r="M264" s="11">
        <v>0</v>
      </c>
      <c r="N264" s="11">
        <v>0</v>
      </c>
      <c r="O264" s="11">
        <v>0</v>
      </c>
      <c r="P264" s="11">
        <v>0</v>
      </c>
      <c r="Q264" s="11"/>
      <c r="R264" s="11"/>
      <c r="S264" s="11"/>
    </row>
    <row r="265" spans="1:19" x14ac:dyDescent="0.25">
      <c r="A265" s="23" t="s">
        <v>483</v>
      </c>
      <c r="B265" s="1" t="s">
        <v>395</v>
      </c>
      <c r="C265" s="1">
        <v>1033697</v>
      </c>
      <c r="D265" s="1" t="s">
        <v>477</v>
      </c>
      <c r="E265" s="1" t="s">
        <v>478</v>
      </c>
      <c r="F265" s="28" t="s">
        <v>822</v>
      </c>
      <c r="G265" s="1" t="s">
        <v>610</v>
      </c>
      <c r="H265" s="3"/>
      <c r="I265" s="11">
        <v>0</v>
      </c>
      <c r="J265" s="11"/>
      <c r="K265" s="11">
        <v>0</v>
      </c>
      <c r="L265" s="11">
        <v>2</v>
      </c>
      <c r="M265" s="11">
        <v>0</v>
      </c>
      <c r="N265" s="11">
        <v>0</v>
      </c>
      <c r="O265" s="11">
        <v>0</v>
      </c>
      <c r="P265" s="11">
        <v>0</v>
      </c>
      <c r="Q265" s="11"/>
      <c r="R265" s="11"/>
      <c r="S265" s="11"/>
    </row>
    <row r="266" spans="1:19" x14ac:dyDescent="0.25">
      <c r="A266" s="23" t="s">
        <v>483</v>
      </c>
      <c r="B266" s="1" t="s">
        <v>395</v>
      </c>
      <c r="C266" s="1">
        <v>1322940</v>
      </c>
      <c r="D266" s="1" t="s">
        <v>479</v>
      </c>
      <c r="E266" s="1" t="s">
        <v>480</v>
      </c>
      <c r="F266" s="28" t="s">
        <v>823</v>
      </c>
      <c r="G266" s="1" t="s">
        <v>610</v>
      </c>
      <c r="H266" s="3"/>
      <c r="I266" s="11">
        <v>0</v>
      </c>
      <c r="J266" s="11"/>
      <c r="K266" s="11">
        <v>0</v>
      </c>
      <c r="L266" s="11">
        <v>2</v>
      </c>
      <c r="M266" s="11">
        <v>0</v>
      </c>
      <c r="N266" s="11">
        <v>0</v>
      </c>
      <c r="O266" s="11">
        <v>0</v>
      </c>
      <c r="P266" s="11">
        <v>0</v>
      </c>
      <c r="Q266" s="11"/>
      <c r="R266" s="11"/>
      <c r="S266" s="11"/>
    </row>
    <row r="267" spans="1:19" x14ac:dyDescent="0.25">
      <c r="A267" s="23" t="s">
        <v>483</v>
      </c>
      <c r="B267" s="1" t="s">
        <v>388</v>
      </c>
      <c r="C267" s="1">
        <v>1136917</v>
      </c>
      <c r="D267" s="1" t="s">
        <v>389</v>
      </c>
      <c r="E267" s="1" t="s">
        <v>390</v>
      </c>
      <c r="F267" s="28" t="s">
        <v>824</v>
      </c>
      <c r="G267" s="1">
        <v>0</v>
      </c>
      <c r="H267" s="3"/>
      <c r="I267" s="11">
        <v>37</v>
      </c>
      <c r="J267" s="11" t="s">
        <v>688</v>
      </c>
      <c r="K267" s="27">
        <v>0.71153846153846156</v>
      </c>
      <c r="L267" s="11">
        <v>5</v>
      </c>
      <c r="M267" s="11">
        <v>0</v>
      </c>
      <c r="N267" s="11">
        <v>0</v>
      </c>
      <c r="O267" s="11">
        <v>0</v>
      </c>
      <c r="P267" s="11">
        <v>0</v>
      </c>
      <c r="Q267" s="11"/>
      <c r="R267" s="11"/>
      <c r="S267" s="11"/>
    </row>
    <row r="268" spans="1:19" x14ac:dyDescent="0.25">
      <c r="A268" s="23" t="s">
        <v>483</v>
      </c>
      <c r="B268" s="1" t="s">
        <v>388</v>
      </c>
      <c r="C268" s="1">
        <v>1326198</v>
      </c>
      <c r="D268" s="1" t="s">
        <v>408</v>
      </c>
      <c r="E268" s="1" t="s">
        <v>409</v>
      </c>
      <c r="F268" s="28" t="s">
        <v>825</v>
      </c>
      <c r="G268" s="1" t="s">
        <v>655</v>
      </c>
      <c r="H268" s="3"/>
      <c r="I268" s="11">
        <v>0</v>
      </c>
      <c r="J268" s="11"/>
      <c r="K268" s="11">
        <v>0</v>
      </c>
      <c r="L268" s="11">
        <v>2</v>
      </c>
      <c r="M268" s="11">
        <v>0</v>
      </c>
      <c r="N268" s="11">
        <v>0</v>
      </c>
      <c r="O268" s="11">
        <v>0</v>
      </c>
      <c r="P268" s="11">
        <v>0</v>
      </c>
      <c r="Q268" s="11"/>
      <c r="R268" s="11"/>
      <c r="S268" s="11"/>
    </row>
    <row r="269" spans="1:19" x14ac:dyDescent="0.25">
      <c r="A269" s="23" t="s">
        <v>483</v>
      </c>
      <c r="B269" s="1" t="s">
        <v>388</v>
      </c>
      <c r="C269" s="1">
        <v>1324780</v>
      </c>
      <c r="D269" s="1" t="s">
        <v>410</v>
      </c>
      <c r="E269" s="1" t="s">
        <v>411</v>
      </c>
      <c r="F269" s="28" t="s">
        <v>826</v>
      </c>
      <c r="G269" s="1" t="s">
        <v>659</v>
      </c>
      <c r="H269" s="3"/>
      <c r="I269" s="11">
        <v>0</v>
      </c>
      <c r="J269" s="11" t="s">
        <v>688</v>
      </c>
      <c r="K269" s="11">
        <v>0</v>
      </c>
      <c r="L269" s="11">
        <v>2</v>
      </c>
      <c r="M269" s="11">
        <v>0</v>
      </c>
      <c r="N269" s="11">
        <v>0</v>
      </c>
      <c r="O269" s="11">
        <v>0</v>
      </c>
      <c r="P269" s="11">
        <v>0</v>
      </c>
      <c r="Q269" s="11"/>
      <c r="R269" s="11"/>
      <c r="S269" s="11"/>
    </row>
    <row r="270" spans="1:19" x14ac:dyDescent="0.25">
      <c r="A270" s="23" t="s">
        <v>483</v>
      </c>
      <c r="B270" s="1" t="s">
        <v>388</v>
      </c>
      <c r="C270" s="1">
        <v>1035762</v>
      </c>
      <c r="D270" s="1" t="s">
        <v>414</v>
      </c>
      <c r="E270" s="1" t="s">
        <v>415</v>
      </c>
      <c r="F270" s="28" t="s">
        <v>827</v>
      </c>
      <c r="G270" s="1" t="s">
        <v>610</v>
      </c>
      <c r="H270" s="3"/>
      <c r="I270" s="11">
        <v>86</v>
      </c>
      <c r="J270" s="11" t="s">
        <v>688</v>
      </c>
      <c r="K270" s="27">
        <v>1.6538461538461537</v>
      </c>
      <c r="L270" s="11">
        <v>5</v>
      </c>
      <c r="M270" s="11">
        <v>0</v>
      </c>
      <c r="N270" s="11">
        <v>0</v>
      </c>
      <c r="O270" s="11">
        <v>0</v>
      </c>
      <c r="P270" s="11">
        <v>0</v>
      </c>
      <c r="Q270" s="11"/>
      <c r="R270" s="11"/>
      <c r="S270" s="11"/>
    </row>
    <row r="271" spans="1:19" x14ac:dyDescent="0.25">
      <c r="A271" s="23" t="s">
        <v>483</v>
      </c>
      <c r="B271" s="1" t="s">
        <v>388</v>
      </c>
      <c r="C271" s="1">
        <v>1323954</v>
      </c>
      <c r="D271" s="1" t="s">
        <v>422</v>
      </c>
      <c r="E271" s="1" t="s">
        <v>423</v>
      </c>
      <c r="F271" s="28" t="s">
        <v>828</v>
      </c>
      <c r="G271" s="1" t="s">
        <v>665</v>
      </c>
      <c r="H271" s="3"/>
      <c r="I271" s="11">
        <v>0</v>
      </c>
      <c r="J271" s="11"/>
      <c r="K271" s="11">
        <v>0</v>
      </c>
      <c r="L271" s="11">
        <v>2</v>
      </c>
      <c r="M271" s="11">
        <v>0</v>
      </c>
      <c r="N271" s="11">
        <v>0</v>
      </c>
      <c r="O271" s="11">
        <v>0</v>
      </c>
      <c r="P271" s="11">
        <v>0</v>
      </c>
      <c r="Q271" s="11"/>
      <c r="R271" s="11"/>
      <c r="S271" s="11"/>
    </row>
    <row r="272" spans="1:19" x14ac:dyDescent="0.25">
      <c r="A272" s="23" t="s">
        <v>483</v>
      </c>
      <c r="B272" s="1" t="s">
        <v>388</v>
      </c>
      <c r="C272" s="1">
        <v>1033654</v>
      </c>
      <c r="D272" s="1" t="s">
        <v>428</v>
      </c>
      <c r="E272" s="1" t="s">
        <v>429</v>
      </c>
      <c r="F272" s="28" t="s">
        <v>777</v>
      </c>
      <c r="G272" s="1" t="s">
        <v>607</v>
      </c>
      <c r="H272" s="3"/>
      <c r="I272" s="11">
        <v>278</v>
      </c>
      <c r="J272" s="11" t="s">
        <v>688</v>
      </c>
      <c r="K272" s="27">
        <v>5.3461538461538458</v>
      </c>
      <c r="L272" s="11">
        <v>10</v>
      </c>
      <c r="M272" s="11">
        <v>0</v>
      </c>
      <c r="N272" s="11">
        <v>0</v>
      </c>
      <c r="O272" s="11">
        <v>0</v>
      </c>
      <c r="P272" s="11">
        <v>0</v>
      </c>
      <c r="Q272" s="11"/>
      <c r="R272" s="11"/>
      <c r="S272" s="11"/>
    </row>
    <row r="273" spans="1:19" x14ac:dyDescent="0.25">
      <c r="A273" s="23" t="s">
        <v>483</v>
      </c>
      <c r="B273" s="1" t="s">
        <v>388</v>
      </c>
      <c r="C273" s="1">
        <v>1324969</v>
      </c>
      <c r="D273" s="1" t="s">
        <v>444</v>
      </c>
      <c r="E273" s="1" t="s">
        <v>445</v>
      </c>
      <c r="F273" s="28" t="s">
        <v>825</v>
      </c>
      <c r="G273" s="1" t="s">
        <v>667</v>
      </c>
      <c r="H273" s="3"/>
      <c r="I273" s="11">
        <v>0</v>
      </c>
      <c r="J273" s="11"/>
      <c r="K273" s="11">
        <v>0</v>
      </c>
      <c r="L273" s="11">
        <v>2</v>
      </c>
      <c r="M273" s="11">
        <v>0</v>
      </c>
      <c r="N273" s="11">
        <v>0</v>
      </c>
      <c r="O273" s="11">
        <v>0</v>
      </c>
      <c r="P273" s="11">
        <v>0</v>
      </c>
      <c r="Q273" s="11"/>
      <c r="R273" s="11"/>
      <c r="S273" s="11"/>
    </row>
    <row r="274" spans="1:19" x14ac:dyDescent="0.25">
      <c r="A274" s="23" t="s">
        <v>483</v>
      </c>
      <c r="B274" s="1" t="s">
        <v>388</v>
      </c>
      <c r="C274" s="1">
        <v>1373323</v>
      </c>
      <c r="D274" s="1" t="s">
        <v>448</v>
      </c>
      <c r="E274" s="1" t="s">
        <v>449</v>
      </c>
      <c r="F274" s="28" t="s">
        <v>825</v>
      </c>
      <c r="G274" s="1" t="s">
        <v>612</v>
      </c>
      <c r="H274" s="3"/>
      <c r="I274" s="11">
        <v>54</v>
      </c>
      <c r="J274" s="11" t="s">
        <v>688</v>
      </c>
      <c r="K274" s="27">
        <v>1.0384615384615385</v>
      </c>
      <c r="L274" s="11">
        <v>5</v>
      </c>
      <c r="M274" s="11">
        <v>0</v>
      </c>
      <c r="N274" s="11">
        <v>0</v>
      </c>
      <c r="O274" s="11">
        <v>0</v>
      </c>
      <c r="P274" s="11">
        <v>0</v>
      </c>
      <c r="Q274" s="11"/>
      <c r="R274" s="11"/>
      <c r="S274" s="11"/>
    </row>
    <row r="275" spans="1:19" x14ac:dyDescent="0.25">
      <c r="A275" s="23" t="s">
        <v>483</v>
      </c>
      <c r="B275" s="1" t="s">
        <v>388</v>
      </c>
      <c r="C275" s="1">
        <v>1373331</v>
      </c>
      <c r="D275" s="1" t="s">
        <v>457</v>
      </c>
      <c r="E275" s="1" t="s">
        <v>458</v>
      </c>
      <c r="F275" s="28" t="s">
        <v>829</v>
      </c>
      <c r="G275" s="1" t="s">
        <v>627</v>
      </c>
      <c r="H275" s="3"/>
      <c r="I275" s="11">
        <v>74</v>
      </c>
      <c r="J275" s="11" t="s">
        <v>688</v>
      </c>
      <c r="K275" s="27">
        <v>1.4230769230769231</v>
      </c>
      <c r="L275" s="11">
        <v>5</v>
      </c>
      <c r="M275" s="11">
        <v>0</v>
      </c>
      <c r="N275" s="11">
        <v>0</v>
      </c>
      <c r="O275" s="11">
        <v>0</v>
      </c>
      <c r="P275" s="11">
        <v>0</v>
      </c>
      <c r="Q275" s="11"/>
      <c r="R275" s="11"/>
      <c r="S275" s="11"/>
    </row>
    <row r="276" spans="1:19" x14ac:dyDescent="0.25">
      <c r="A276" s="23" t="s">
        <v>483</v>
      </c>
      <c r="B276" s="1" t="s">
        <v>388</v>
      </c>
      <c r="C276" s="1">
        <v>1325183</v>
      </c>
      <c r="D276" s="1" t="s">
        <v>459</v>
      </c>
      <c r="E276" s="1" t="s">
        <v>460</v>
      </c>
      <c r="F276" s="28" t="s">
        <v>826</v>
      </c>
      <c r="G276" s="1" t="s">
        <v>671</v>
      </c>
      <c r="H276" s="3"/>
      <c r="I276" s="11">
        <v>0</v>
      </c>
      <c r="J276" s="11"/>
      <c r="K276" s="11">
        <v>0</v>
      </c>
      <c r="L276" s="11">
        <v>2</v>
      </c>
      <c r="M276" s="11">
        <v>0</v>
      </c>
      <c r="N276" s="11">
        <v>0</v>
      </c>
      <c r="O276" s="11">
        <v>0</v>
      </c>
      <c r="P276" s="11">
        <v>0</v>
      </c>
      <c r="Q276" s="11"/>
      <c r="R276" s="11"/>
      <c r="S276" s="11"/>
    </row>
    <row r="277" spans="1:19" x14ac:dyDescent="0.25">
      <c r="A277" s="23" t="s">
        <v>483</v>
      </c>
      <c r="B277" s="1" t="s">
        <v>388</v>
      </c>
      <c r="C277" s="1">
        <v>1323962</v>
      </c>
      <c r="D277" s="1" t="s">
        <v>463</v>
      </c>
      <c r="E277" s="1" t="s">
        <v>464</v>
      </c>
      <c r="F277" s="28" t="s">
        <v>828</v>
      </c>
      <c r="G277" s="1" t="s">
        <v>614</v>
      </c>
      <c r="H277" s="3"/>
      <c r="I277" s="11">
        <v>0</v>
      </c>
      <c r="J277" s="11" t="s">
        <v>688</v>
      </c>
      <c r="K277" s="11">
        <v>0</v>
      </c>
      <c r="L277" s="11">
        <v>2</v>
      </c>
      <c r="M277" s="11">
        <v>0</v>
      </c>
      <c r="N277" s="11">
        <v>0</v>
      </c>
      <c r="O277" s="11">
        <v>0</v>
      </c>
      <c r="P277" s="11">
        <v>0</v>
      </c>
      <c r="Q277" s="11"/>
      <c r="R277" s="11"/>
      <c r="S277" s="11"/>
    </row>
    <row r="278" spans="1:19" x14ac:dyDescent="0.25">
      <c r="A278" s="23" t="s">
        <v>483</v>
      </c>
      <c r="B278" s="1" t="s">
        <v>388</v>
      </c>
      <c r="C278" s="1">
        <v>1033735</v>
      </c>
      <c r="D278" s="1" t="s">
        <v>465</v>
      </c>
      <c r="E278" s="1" t="s">
        <v>466</v>
      </c>
      <c r="F278" s="28" t="s">
        <v>830</v>
      </c>
      <c r="G278" s="1" t="s">
        <v>601</v>
      </c>
      <c r="H278" s="3"/>
      <c r="I278" s="11">
        <v>346</v>
      </c>
      <c r="J278" s="11"/>
      <c r="K278" s="27">
        <v>6.6538461538461542</v>
      </c>
      <c r="L278" s="11">
        <v>15</v>
      </c>
      <c r="M278" s="11">
        <v>15</v>
      </c>
      <c r="N278" s="11">
        <v>15</v>
      </c>
      <c r="O278" s="11">
        <v>15</v>
      </c>
      <c r="P278" s="11">
        <v>15</v>
      </c>
      <c r="Q278" s="11"/>
      <c r="R278" s="11"/>
      <c r="S278" s="11"/>
    </row>
    <row r="279" spans="1:19" x14ac:dyDescent="0.25">
      <c r="A279" s="23" t="s">
        <v>483</v>
      </c>
      <c r="B279" s="1" t="s">
        <v>388</v>
      </c>
      <c r="C279" s="1">
        <v>1373242</v>
      </c>
      <c r="D279" s="1" t="s">
        <v>481</v>
      </c>
      <c r="E279" s="1" t="s">
        <v>482</v>
      </c>
      <c r="F279" s="28" t="s">
        <v>780</v>
      </c>
      <c r="G279" s="1" t="s">
        <v>601</v>
      </c>
      <c r="H279" s="3"/>
      <c r="I279" s="11">
        <v>6</v>
      </c>
      <c r="J279" s="11" t="s">
        <v>688</v>
      </c>
      <c r="K279" s="27">
        <v>0.11538461538461539</v>
      </c>
      <c r="L279" s="11">
        <v>2</v>
      </c>
      <c r="M279" s="11">
        <v>0</v>
      </c>
      <c r="N279" s="11">
        <v>0</v>
      </c>
      <c r="O279" s="11">
        <v>0</v>
      </c>
      <c r="P279" s="11">
        <v>0</v>
      </c>
      <c r="Q279" s="11"/>
      <c r="R279" s="11"/>
      <c r="S279" s="11"/>
    </row>
    <row r="280" spans="1:19" x14ac:dyDescent="0.25">
      <c r="A280" s="23" t="s">
        <v>483</v>
      </c>
      <c r="B280" s="1" t="s">
        <v>367</v>
      </c>
      <c r="C280" s="1">
        <v>1136925</v>
      </c>
      <c r="D280" s="1" t="s">
        <v>368</v>
      </c>
      <c r="E280" s="1" t="s">
        <v>369</v>
      </c>
      <c r="F280" s="28" t="s">
        <v>783</v>
      </c>
      <c r="G280" s="1" t="s">
        <v>603</v>
      </c>
      <c r="H280" s="3"/>
      <c r="I280" s="11">
        <v>48</v>
      </c>
      <c r="J280" s="11" t="s">
        <v>688</v>
      </c>
      <c r="K280" s="27">
        <v>0.92307692307692313</v>
      </c>
      <c r="L280" s="11">
        <v>5</v>
      </c>
      <c r="M280" s="11">
        <v>50</v>
      </c>
      <c r="N280" s="11">
        <v>35</v>
      </c>
      <c r="O280" s="11">
        <v>35</v>
      </c>
      <c r="P280" s="11">
        <v>30</v>
      </c>
      <c r="Q280" s="11"/>
      <c r="R280" s="11"/>
      <c r="S280" s="11"/>
    </row>
    <row r="281" spans="1:19" x14ac:dyDescent="0.25">
      <c r="A281" s="23" t="s">
        <v>483</v>
      </c>
      <c r="B281" s="1" t="s">
        <v>367</v>
      </c>
      <c r="C281" s="1">
        <v>1136933</v>
      </c>
      <c r="D281" s="1" t="s">
        <v>375</v>
      </c>
      <c r="E281" s="1" t="s">
        <v>376</v>
      </c>
      <c r="F281" s="28" t="s">
        <v>831</v>
      </c>
      <c r="G281" s="1" t="s">
        <v>605</v>
      </c>
      <c r="H281" s="3"/>
      <c r="I281" s="11">
        <v>47</v>
      </c>
      <c r="J281" s="11"/>
      <c r="K281" s="27">
        <v>0.90384615384615385</v>
      </c>
      <c r="L281" s="11">
        <v>5</v>
      </c>
      <c r="M281" s="11">
        <v>5</v>
      </c>
      <c r="N281" s="11">
        <v>5</v>
      </c>
      <c r="O281" s="11">
        <v>5</v>
      </c>
      <c r="P281" s="11">
        <v>4</v>
      </c>
      <c r="Q281" s="11"/>
      <c r="R281" s="11"/>
      <c r="S281" s="11"/>
    </row>
    <row r="282" spans="1:19" x14ac:dyDescent="0.25">
      <c r="A282" s="23" t="s">
        <v>483</v>
      </c>
      <c r="B282" s="1" t="s">
        <v>367</v>
      </c>
      <c r="C282" s="1">
        <v>1136941</v>
      </c>
      <c r="D282" s="1" t="s">
        <v>382</v>
      </c>
      <c r="E282" s="1" t="s">
        <v>383</v>
      </c>
      <c r="F282" s="28" t="s">
        <v>832</v>
      </c>
      <c r="G282" s="1" t="s">
        <v>615</v>
      </c>
      <c r="H282" s="3"/>
      <c r="I282" s="11">
        <v>16</v>
      </c>
      <c r="J282" s="11"/>
      <c r="K282" s="27">
        <v>0.30769230769230771</v>
      </c>
      <c r="L282" s="11">
        <v>5</v>
      </c>
      <c r="M282" s="11">
        <v>0</v>
      </c>
      <c r="N282" s="11">
        <v>0</v>
      </c>
      <c r="O282" s="11">
        <v>0</v>
      </c>
      <c r="P282" s="11">
        <v>0</v>
      </c>
      <c r="Q282" s="11"/>
      <c r="R282" s="11"/>
      <c r="S282" s="11"/>
    </row>
    <row r="283" spans="1:19" x14ac:dyDescent="0.25">
      <c r="A283" s="23" t="s">
        <v>483</v>
      </c>
      <c r="B283" s="1" t="s">
        <v>367</v>
      </c>
      <c r="C283" s="1">
        <v>1033778</v>
      </c>
      <c r="D283" s="1" t="s">
        <v>384</v>
      </c>
      <c r="E283" s="1" t="s">
        <v>385</v>
      </c>
      <c r="F283" s="28" t="s">
        <v>833</v>
      </c>
      <c r="G283" s="1" t="s">
        <v>615</v>
      </c>
      <c r="H283" s="3"/>
      <c r="I283" s="11">
        <v>71</v>
      </c>
      <c r="J283" s="11" t="s">
        <v>688</v>
      </c>
      <c r="K283" s="27">
        <v>1.3653846153846154</v>
      </c>
      <c r="L283" s="11">
        <v>5</v>
      </c>
      <c r="M283" s="11">
        <v>0</v>
      </c>
      <c r="N283" s="11">
        <v>0</v>
      </c>
      <c r="O283" s="11">
        <v>0</v>
      </c>
      <c r="P283" s="11">
        <v>0</v>
      </c>
      <c r="Q283" s="11"/>
      <c r="R283" s="11"/>
      <c r="S283" s="11"/>
    </row>
    <row r="284" spans="1:19" x14ac:dyDescent="0.25">
      <c r="A284" s="23" t="s">
        <v>483</v>
      </c>
      <c r="B284" s="1" t="s">
        <v>367</v>
      </c>
      <c r="C284" s="21">
        <v>1033786</v>
      </c>
      <c r="D284" s="21" t="s">
        <v>386</v>
      </c>
      <c r="E284" s="21" t="s">
        <v>387</v>
      </c>
      <c r="F284" s="28" t="s">
        <v>772</v>
      </c>
      <c r="G284" s="1" t="s">
        <v>658</v>
      </c>
      <c r="H284" s="3"/>
      <c r="I284" s="11">
        <v>4876</v>
      </c>
      <c r="J284" s="11" t="s">
        <v>688</v>
      </c>
      <c r="K284" s="27">
        <v>93.769230769230774</v>
      </c>
      <c r="L284" s="11">
        <v>200</v>
      </c>
      <c r="M284" s="11">
        <v>200</v>
      </c>
      <c r="N284" s="11">
        <v>200</v>
      </c>
      <c r="O284" s="11">
        <v>200</v>
      </c>
      <c r="P284" s="11">
        <v>150</v>
      </c>
      <c r="Q284" s="11"/>
      <c r="R284" s="11"/>
      <c r="S284" s="11"/>
    </row>
    <row r="285" spans="1:19" x14ac:dyDescent="0.25">
      <c r="A285" s="23" t="s">
        <v>483</v>
      </c>
      <c r="B285" s="1" t="s">
        <v>367</v>
      </c>
      <c r="C285" s="1">
        <v>1037390</v>
      </c>
      <c r="D285" s="1" t="s">
        <v>391</v>
      </c>
      <c r="E285" s="1" t="s">
        <v>392</v>
      </c>
      <c r="F285" s="28" t="s">
        <v>785</v>
      </c>
      <c r="G285" s="1" t="s">
        <v>614</v>
      </c>
      <c r="H285" s="3"/>
      <c r="I285" s="11">
        <v>9</v>
      </c>
      <c r="J285" s="11" t="s">
        <v>688</v>
      </c>
      <c r="K285" s="27">
        <v>0.17307692307692307</v>
      </c>
      <c r="L285" s="11">
        <v>2</v>
      </c>
      <c r="M285" s="11">
        <v>0</v>
      </c>
      <c r="N285" s="11">
        <v>0</v>
      </c>
      <c r="O285" s="11">
        <v>0</v>
      </c>
      <c r="P285" s="11">
        <v>0</v>
      </c>
      <c r="Q285" s="11"/>
      <c r="R285" s="11"/>
      <c r="S285" s="11"/>
    </row>
    <row r="286" spans="1:19" x14ac:dyDescent="0.25">
      <c r="A286" s="23" t="s">
        <v>483</v>
      </c>
      <c r="B286" s="1" t="s">
        <v>367</v>
      </c>
      <c r="C286" s="1">
        <v>1037382</v>
      </c>
      <c r="D286" s="1" t="s">
        <v>393</v>
      </c>
      <c r="E286" s="1" t="s">
        <v>394</v>
      </c>
      <c r="F286" s="28" t="s">
        <v>785</v>
      </c>
      <c r="G286" s="1" t="s">
        <v>610</v>
      </c>
      <c r="H286" s="3"/>
      <c r="I286" s="11">
        <v>0</v>
      </c>
      <c r="J286" s="11" t="s">
        <v>688</v>
      </c>
      <c r="K286" s="11">
        <v>0</v>
      </c>
      <c r="L286" s="11">
        <v>2</v>
      </c>
      <c r="M286" s="11">
        <v>0</v>
      </c>
      <c r="N286" s="11">
        <v>0</v>
      </c>
      <c r="O286" s="11">
        <v>0</v>
      </c>
      <c r="P286" s="11">
        <v>0</v>
      </c>
      <c r="Q286" s="11"/>
      <c r="R286" s="11"/>
      <c r="S286" s="11"/>
    </row>
    <row r="287" spans="1:19" x14ac:dyDescent="0.25">
      <c r="A287" s="23" t="s">
        <v>483</v>
      </c>
      <c r="B287" s="1" t="s">
        <v>367</v>
      </c>
      <c r="C287" s="1">
        <v>1037374</v>
      </c>
      <c r="D287" s="1" t="s">
        <v>398</v>
      </c>
      <c r="E287" s="1" t="s">
        <v>399</v>
      </c>
      <c r="F287" s="28" t="s">
        <v>785</v>
      </c>
      <c r="G287" s="1" t="s">
        <v>635</v>
      </c>
      <c r="H287" s="3"/>
      <c r="I287" s="11">
        <v>0</v>
      </c>
      <c r="J287" s="11" t="s">
        <v>688</v>
      </c>
      <c r="K287" s="11">
        <v>0</v>
      </c>
      <c r="L287" s="11">
        <v>2</v>
      </c>
      <c r="M287" s="11">
        <v>0</v>
      </c>
      <c r="N287" s="11">
        <v>0</v>
      </c>
      <c r="O287" s="11">
        <v>0</v>
      </c>
      <c r="P287" s="11">
        <v>0</v>
      </c>
      <c r="Q287" s="11"/>
      <c r="R287" s="11"/>
      <c r="S287" s="11"/>
    </row>
    <row r="288" spans="1:19" x14ac:dyDescent="0.25">
      <c r="A288" s="23" t="s">
        <v>483</v>
      </c>
      <c r="B288" s="1" t="s">
        <v>367</v>
      </c>
      <c r="C288" s="1">
        <v>1033832</v>
      </c>
      <c r="D288" s="1" t="s">
        <v>404</v>
      </c>
      <c r="E288" s="1" t="s">
        <v>405</v>
      </c>
      <c r="F288" s="28" t="s">
        <v>774</v>
      </c>
      <c r="G288" s="1" t="s">
        <v>633</v>
      </c>
      <c r="H288" s="3"/>
      <c r="I288" s="11">
        <v>135</v>
      </c>
      <c r="J288" s="11"/>
      <c r="K288" s="27">
        <v>2.5961538461538463</v>
      </c>
      <c r="L288" s="11">
        <v>10</v>
      </c>
      <c r="M288" s="11">
        <v>15</v>
      </c>
      <c r="N288" s="11">
        <v>5</v>
      </c>
      <c r="O288" s="11">
        <v>1</v>
      </c>
      <c r="P288" s="11">
        <v>0</v>
      </c>
      <c r="Q288" s="11"/>
      <c r="R288" s="11"/>
      <c r="S288" s="11"/>
    </row>
    <row r="289" spans="1:19" x14ac:dyDescent="0.25">
      <c r="A289" s="23" t="s">
        <v>483</v>
      </c>
      <c r="B289" s="1" t="s">
        <v>367</v>
      </c>
      <c r="C289" s="1">
        <v>1033824</v>
      </c>
      <c r="D289" s="1" t="s">
        <v>412</v>
      </c>
      <c r="E289" s="1" t="s">
        <v>413</v>
      </c>
      <c r="F289" s="28" t="s">
        <v>774</v>
      </c>
      <c r="G289" s="1" t="s">
        <v>605</v>
      </c>
      <c r="H289" s="3"/>
      <c r="I289" s="11">
        <v>311</v>
      </c>
      <c r="J289" s="11" t="s">
        <v>688</v>
      </c>
      <c r="K289" s="27">
        <v>5.9807692307692308</v>
      </c>
      <c r="L289" s="11">
        <v>25</v>
      </c>
      <c r="M289" s="11">
        <v>15</v>
      </c>
      <c r="N289" s="11">
        <v>5</v>
      </c>
      <c r="O289" s="11">
        <v>2</v>
      </c>
      <c r="P289" s="11">
        <v>0</v>
      </c>
      <c r="Q289" s="11"/>
      <c r="R289" s="11"/>
      <c r="S289" s="11"/>
    </row>
    <row r="290" spans="1:19" x14ac:dyDescent="0.25">
      <c r="A290" s="23" t="s">
        <v>483</v>
      </c>
      <c r="B290" s="1" t="s">
        <v>367</v>
      </c>
      <c r="C290" s="1">
        <v>1033816</v>
      </c>
      <c r="D290" s="1" t="s">
        <v>418</v>
      </c>
      <c r="E290" s="1" t="s">
        <v>419</v>
      </c>
      <c r="F290" s="28" t="s">
        <v>774</v>
      </c>
      <c r="G290" s="1" t="s">
        <v>642</v>
      </c>
      <c r="H290" s="3"/>
      <c r="I290" s="11">
        <v>243</v>
      </c>
      <c r="J290" s="11" t="s">
        <v>688</v>
      </c>
      <c r="K290" s="27">
        <v>4.6730769230769234</v>
      </c>
      <c r="L290" s="11">
        <v>25</v>
      </c>
      <c r="M290" s="11">
        <v>15</v>
      </c>
      <c r="N290" s="11">
        <v>5</v>
      </c>
      <c r="O290" s="11">
        <v>2</v>
      </c>
      <c r="P290" s="11">
        <v>0</v>
      </c>
      <c r="Q290" s="11"/>
      <c r="R290" s="11"/>
      <c r="S290" s="11"/>
    </row>
    <row r="291" spans="1:19" x14ac:dyDescent="0.25">
      <c r="A291" s="23" t="s">
        <v>483</v>
      </c>
      <c r="B291" s="1" t="s">
        <v>367</v>
      </c>
      <c r="C291" s="1">
        <v>1373200</v>
      </c>
      <c r="D291" s="1" t="s">
        <v>420</v>
      </c>
      <c r="E291" s="1" t="s">
        <v>421</v>
      </c>
      <c r="F291" s="28" t="s">
        <v>786</v>
      </c>
      <c r="G291" s="1" t="s">
        <v>640</v>
      </c>
      <c r="H291" s="3"/>
      <c r="I291" s="11">
        <v>323</v>
      </c>
      <c r="J291" s="11" t="s">
        <v>688</v>
      </c>
      <c r="K291" s="27">
        <v>6.2115384615384617</v>
      </c>
      <c r="L291" s="11">
        <v>25</v>
      </c>
      <c r="M291" s="11">
        <v>0</v>
      </c>
      <c r="N291" s="11">
        <v>0</v>
      </c>
      <c r="O291" s="11">
        <v>0</v>
      </c>
      <c r="P291" s="11">
        <v>0</v>
      </c>
      <c r="Q291" s="11"/>
      <c r="R291" s="11"/>
      <c r="S291" s="11"/>
    </row>
    <row r="292" spans="1:19" x14ac:dyDescent="0.25">
      <c r="A292" s="23" t="s">
        <v>483</v>
      </c>
      <c r="B292" s="1" t="s">
        <v>367</v>
      </c>
      <c r="C292" s="1">
        <v>1033808</v>
      </c>
      <c r="D292" s="1" t="s">
        <v>424</v>
      </c>
      <c r="E292" s="1" t="s">
        <v>425</v>
      </c>
      <c r="F292" s="28" t="s">
        <v>834</v>
      </c>
      <c r="G292" s="1" t="s">
        <v>666</v>
      </c>
      <c r="H292" s="3"/>
      <c r="I292" s="11">
        <v>190</v>
      </c>
      <c r="J292" s="11"/>
      <c r="K292" s="27">
        <v>3.6538461538461537</v>
      </c>
      <c r="L292" s="11">
        <v>25</v>
      </c>
      <c r="M292" s="11">
        <v>200</v>
      </c>
      <c r="N292" s="11">
        <v>200</v>
      </c>
      <c r="O292" s="11">
        <v>200</v>
      </c>
      <c r="P292" s="11">
        <v>175</v>
      </c>
      <c r="Q292" s="11"/>
      <c r="R292" s="11"/>
      <c r="S292" s="11"/>
    </row>
    <row r="293" spans="1:19" x14ac:dyDescent="0.25">
      <c r="A293" s="23" t="s">
        <v>483</v>
      </c>
      <c r="B293" s="1" t="s">
        <v>367</v>
      </c>
      <c r="C293" s="1">
        <v>1326341</v>
      </c>
      <c r="D293" s="1" t="s">
        <v>426</v>
      </c>
      <c r="E293" s="1" t="s">
        <v>427</v>
      </c>
      <c r="F293" s="28" t="s">
        <v>782</v>
      </c>
      <c r="G293" s="1" t="s">
        <v>635</v>
      </c>
      <c r="H293" s="3"/>
      <c r="I293" s="11">
        <v>128</v>
      </c>
      <c r="J293" s="11" t="s">
        <v>688</v>
      </c>
      <c r="K293" s="27">
        <v>2.4615384615384617</v>
      </c>
      <c r="L293" s="11">
        <v>10</v>
      </c>
      <c r="M293" s="11">
        <v>0</v>
      </c>
      <c r="N293" s="11">
        <v>0</v>
      </c>
      <c r="O293" s="11">
        <v>0</v>
      </c>
      <c r="P293" s="11">
        <v>0</v>
      </c>
      <c r="Q293" s="11"/>
      <c r="R293" s="11"/>
      <c r="S293" s="11"/>
    </row>
    <row r="294" spans="1:19" x14ac:dyDescent="0.25">
      <c r="A294" s="23" t="s">
        <v>483</v>
      </c>
      <c r="B294" s="1" t="s">
        <v>367</v>
      </c>
      <c r="C294" s="1">
        <v>1373218</v>
      </c>
      <c r="D294" s="1" t="s">
        <v>432</v>
      </c>
      <c r="E294" s="1" t="s">
        <v>433</v>
      </c>
      <c r="F294" s="28" t="s">
        <v>835</v>
      </c>
      <c r="G294" s="1" t="s">
        <v>640</v>
      </c>
      <c r="H294" s="3"/>
      <c r="I294" s="11">
        <v>210</v>
      </c>
      <c r="J294" s="11" t="s">
        <v>688</v>
      </c>
      <c r="K294" s="27">
        <v>4.0384615384615383</v>
      </c>
      <c r="L294" s="11">
        <v>10</v>
      </c>
      <c r="M294" s="11">
        <v>0</v>
      </c>
      <c r="N294" s="11">
        <v>0</v>
      </c>
      <c r="O294" s="11">
        <v>0</v>
      </c>
      <c r="P294" s="11">
        <v>0</v>
      </c>
      <c r="Q294" s="11"/>
      <c r="R294" s="11"/>
      <c r="S294" s="11"/>
    </row>
    <row r="295" spans="1:19" x14ac:dyDescent="0.25">
      <c r="A295" s="23" t="s">
        <v>483</v>
      </c>
      <c r="B295" s="1" t="s">
        <v>367</v>
      </c>
      <c r="C295" s="1">
        <v>1373269</v>
      </c>
      <c r="D295" s="1" t="s">
        <v>434</v>
      </c>
      <c r="E295" s="1" t="s">
        <v>435</v>
      </c>
      <c r="F295" s="28" t="s">
        <v>836</v>
      </c>
      <c r="G295" s="1" t="s">
        <v>640</v>
      </c>
      <c r="H295" s="3"/>
      <c r="I295" s="11">
        <v>325</v>
      </c>
      <c r="J295" s="11" t="s">
        <v>688</v>
      </c>
      <c r="K295" s="27">
        <v>6.25</v>
      </c>
      <c r="L295" s="11">
        <v>25</v>
      </c>
      <c r="M295" s="11">
        <v>15</v>
      </c>
      <c r="N295" s="11">
        <v>15</v>
      </c>
      <c r="O295" s="11">
        <v>15</v>
      </c>
      <c r="P295" s="11">
        <v>15</v>
      </c>
      <c r="Q295" s="11"/>
      <c r="R295" s="11"/>
      <c r="S295" s="11"/>
    </row>
    <row r="296" spans="1:19" x14ac:dyDescent="0.25">
      <c r="A296" s="23" t="s">
        <v>483</v>
      </c>
      <c r="B296" s="1" t="s">
        <v>367</v>
      </c>
      <c r="C296" s="1">
        <v>1326295</v>
      </c>
      <c r="D296" s="1" t="s">
        <v>436</v>
      </c>
      <c r="E296" s="1" t="s">
        <v>437</v>
      </c>
      <c r="F296" s="28" t="s">
        <v>837</v>
      </c>
      <c r="G296" s="1" t="s">
        <v>635</v>
      </c>
      <c r="H296" s="3"/>
      <c r="I296" s="11">
        <v>0</v>
      </c>
      <c r="J296" s="11" t="s">
        <v>688</v>
      </c>
      <c r="K296" s="11">
        <v>0</v>
      </c>
      <c r="L296" s="11">
        <v>5</v>
      </c>
      <c r="M296" s="11">
        <v>0</v>
      </c>
      <c r="N296" s="11">
        <v>0</v>
      </c>
      <c r="O296" s="11">
        <v>0</v>
      </c>
      <c r="P296" s="11">
        <v>0</v>
      </c>
      <c r="Q296" s="11"/>
      <c r="R296" s="11"/>
      <c r="S296" s="11"/>
    </row>
    <row r="297" spans="1:19" x14ac:dyDescent="0.25">
      <c r="A297" s="23" t="s">
        <v>483</v>
      </c>
      <c r="B297" s="1" t="s">
        <v>367</v>
      </c>
      <c r="C297" s="1">
        <v>1038036</v>
      </c>
      <c r="D297" s="1" t="s">
        <v>440</v>
      </c>
      <c r="E297" s="1" t="s">
        <v>441</v>
      </c>
      <c r="F297" s="28" t="s">
        <v>784</v>
      </c>
      <c r="G297" s="1" t="s">
        <v>620</v>
      </c>
      <c r="H297" s="3"/>
      <c r="I297" s="11">
        <v>15</v>
      </c>
      <c r="J297" s="11" t="s">
        <v>688</v>
      </c>
      <c r="K297" s="27">
        <v>0.28846153846153844</v>
      </c>
      <c r="L297" s="11">
        <v>2</v>
      </c>
      <c r="M297" s="11">
        <v>0</v>
      </c>
      <c r="N297" s="11">
        <v>0</v>
      </c>
      <c r="O297" s="11">
        <v>0</v>
      </c>
      <c r="P297" s="11">
        <v>0</v>
      </c>
      <c r="Q297" s="11"/>
      <c r="R297" s="11"/>
      <c r="S297" s="11"/>
    </row>
    <row r="298" spans="1:19" x14ac:dyDescent="0.25">
      <c r="A298" s="23" t="s">
        <v>483</v>
      </c>
      <c r="B298" s="1" t="s">
        <v>367</v>
      </c>
      <c r="C298" s="1">
        <v>1038028</v>
      </c>
      <c r="D298" s="1" t="s">
        <v>450</v>
      </c>
      <c r="E298" s="1" t="s">
        <v>451</v>
      </c>
      <c r="F298" s="28" t="s">
        <v>784</v>
      </c>
      <c r="G298" s="1" t="s">
        <v>625</v>
      </c>
      <c r="H298" s="3"/>
      <c r="I298" s="11">
        <v>8</v>
      </c>
      <c r="J298" s="11" t="s">
        <v>688</v>
      </c>
      <c r="K298" s="27">
        <v>0.15384615384615385</v>
      </c>
      <c r="L298" s="11">
        <v>2</v>
      </c>
      <c r="M298" s="11">
        <v>0</v>
      </c>
      <c r="N298" s="11">
        <v>0</v>
      </c>
      <c r="O298" s="11">
        <v>0</v>
      </c>
      <c r="P298" s="11">
        <v>0</v>
      </c>
      <c r="Q298" s="11"/>
      <c r="R298" s="11"/>
      <c r="S298" s="11"/>
    </row>
    <row r="299" spans="1:19" x14ac:dyDescent="0.25">
      <c r="A299" s="23" t="s">
        <v>483</v>
      </c>
      <c r="B299" s="1" t="s">
        <v>367</v>
      </c>
      <c r="C299" s="1">
        <v>1038010</v>
      </c>
      <c r="D299" s="1" t="s">
        <v>452</v>
      </c>
      <c r="E299" s="1" t="s">
        <v>453</v>
      </c>
      <c r="F299" s="28" t="s">
        <v>784</v>
      </c>
      <c r="G299" s="1" t="s">
        <v>670</v>
      </c>
      <c r="H299" s="3"/>
      <c r="I299" s="11">
        <v>44</v>
      </c>
      <c r="J299" s="11" t="s">
        <v>688</v>
      </c>
      <c r="K299" s="27">
        <v>0.84615384615384615</v>
      </c>
      <c r="L299" s="11">
        <v>5</v>
      </c>
      <c r="M299" s="11">
        <v>0</v>
      </c>
      <c r="N299" s="11">
        <v>0</v>
      </c>
      <c r="O299" s="11">
        <v>0</v>
      </c>
      <c r="P299" s="11">
        <v>0</v>
      </c>
      <c r="Q299" s="11"/>
      <c r="R299" s="11"/>
      <c r="S299" s="11"/>
    </row>
    <row r="300" spans="1:19" x14ac:dyDescent="0.25">
      <c r="A300" s="23" t="s">
        <v>483</v>
      </c>
      <c r="B300" s="1" t="s">
        <v>367</v>
      </c>
      <c r="C300" s="21">
        <v>1033794</v>
      </c>
      <c r="D300" s="21" t="s">
        <v>371</v>
      </c>
      <c r="E300" s="21" t="s">
        <v>454</v>
      </c>
      <c r="F300" s="28" t="s">
        <v>775</v>
      </c>
      <c r="G300" s="1" t="s">
        <v>657</v>
      </c>
      <c r="H300" s="3"/>
      <c r="I300" s="11">
        <v>1066</v>
      </c>
      <c r="J300" s="11" t="s">
        <v>688</v>
      </c>
      <c r="K300" s="27">
        <v>20.5</v>
      </c>
      <c r="L300" s="11">
        <v>100</v>
      </c>
      <c r="M300" s="11">
        <v>200</v>
      </c>
      <c r="N300" s="11">
        <v>200</v>
      </c>
      <c r="O300" s="11">
        <v>200</v>
      </c>
      <c r="P300" s="11">
        <v>200</v>
      </c>
      <c r="Q300" s="11"/>
      <c r="R300" s="11"/>
      <c r="S300" s="11"/>
    </row>
    <row r="301" spans="1:19" x14ac:dyDescent="0.25">
      <c r="A301" s="23" t="s">
        <v>483</v>
      </c>
      <c r="B301" s="1" t="s">
        <v>367</v>
      </c>
      <c r="C301" s="1">
        <v>1268090</v>
      </c>
      <c r="D301" s="1" t="s">
        <v>469</v>
      </c>
      <c r="E301" s="1" t="s">
        <v>470</v>
      </c>
      <c r="F301" s="28" t="s">
        <v>838</v>
      </c>
      <c r="G301" s="1" t="s">
        <v>673</v>
      </c>
      <c r="H301" s="3"/>
      <c r="I301" s="11">
        <v>0</v>
      </c>
      <c r="J301" s="11" t="s">
        <v>688</v>
      </c>
      <c r="K301" s="11">
        <v>0</v>
      </c>
      <c r="L301" s="11">
        <v>5</v>
      </c>
      <c r="M301" s="11">
        <v>0</v>
      </c>
      <c r="N301" s="11">
        <v>0</v>
      </c>
      <c r="O301" s="11">
        <v>0</v>
      </c>
      <c r="P301" s="11">
        <v>0</v>
      </c>
      <c r="Q301" s="11"/>
      <c r="R301" s="11"/>
      <c r="S301" s="11"/>
    </row>
    <row r="302" spans="1:19" x14ac:dyDescent="0.25">
      <c r="A302" s="23" t="s">
        <v>483</v>
      </c>
      <c r="B302" s="1" t="s">
        <v>370</v>
      </c>
      <c r="C302" s="21">
        <v>1136968</v>
      </c>
      <c r="D302" s="21" t="s">
        <v>371</v>
      </c>
      <c r="E302" s="21" t="s">
        <v>372</v>
      </c>
      <c r="F302" s="28" t="s">
        <v>787</v>
      </c>
      <c r="G302" s="1" t="s">
        <v>656</v>
      </c>
      <c r="H302" s="3"/>
      <c r="I302" s="11">
        <v>1633</v>
      </c>
      <c r="J302" s="11" t="s">
        <v>688</v>
      </c>
      <c r="K302" s="27">
        <v>31.403846153846153</v>
      </c>
      <c r="L302" s="11">
        <v>100</v>
      </c>
      <c r="M302" s="11">
        <v>300</v>
      </c>
      <c r="N302" s="11">
        <v>300</v>
      </c>
      <c r="O302" s="11">
        <v>300</v>
      </c>
      <c r="P302" s="11">
        <v>300</v>
      </c>
      <c r="Q302" s="11"/>
      <c r="R302" s="11"/>
      <c r="S302" s="11"/>
    </row>
    <row r="303" spans="1:19" x14ac:dyDescent="0.25">
      <c r="A303" s="23" t="s">
        <v>483</v>
      </c>
      <c r="B303" s="1" t="s">
        <v>370</v>
      </c>
      <c r="C303" s="1">
        <v>1373285</v>
      </c>
      <c r="D303" s="1" t="s">
        <v>446</v>
      </c>
      <c r="E303" s="1" t="s">
        <v>447</v>
      </c>
      <c r="F303" s="28" t="s">
        <v>776</v>
      </c>
      <c r="G303" s="1" t="s">
        <v>657</v>
      </c>
      <c r="H303" s="3"/>
      <c r="I303" s="11">
        <v>0</v>
      </c>
      <c r="J303" s="11"/>
      <c r="K303" s="11">
        <v>0</v>
      </c>
      <c r="L303" s="11">
        <v>5</v>
      </c>
      <c r="M303" s="11">
        <v>0</v>
      </c>
      <c r="N303" s="11">
        <v>0</v>
      </c>
      <c r="O303" s="11">
        <v>0</v>
      </c>
      <c r="P303" s="11">
        <v>0</v>
      </c>
      <c r="Q303" s="11"/>
      <c r="R303" s="11"/>
      <c r="S303" s="11"/>
    </row>
    <row r="304" spans="1:19" x14ac:dyDescent="0.25">
      <c r="A304" s="23" t="s">
        <v>483</v>
      </c>
      <c r="B304" s="1" t="s">
        <v>370</v>
      </c>
      <c r="C304" s="21">
        <v>1033743</v>
      </c>
      <c r="D304" s="21" t="s">
        <v>379</v>
      </c>
      <c r="E304" s="21" t="s">
        <v>380</v>
      </c>
      <c r="F304" s="28" t="s">
        <v>779</v>
      </c>
      <c r="G304" s="1" t="s">
        <v>664</v>
      </c>
      <c r="H304" s="3"/>
      <c r="I304" s="11">
        <v>613</v>
      </c>
      <c r="J304" s="11" t="s">
        <v>688</v>
      </c>
      <c r="K304" s="27">
        <v>11.788461538461538</v>
      </c>
      <c r="L304" s="11">
        <v>100</v>
      </c>
      <c r="M304" s="11">
        <v>20</v>
      </c>
      <c r="N304" s="11">
        <v>20</v>
      </c>
      <c r="O304" s="11">
        <v>0</v>
      </c>
      <c r="P304" s="11">
        <v>0</v>
      </c>
      <c r="Q304" s="11"/>
      <c r="R304" s="11"/>
      <c r="S304" s="11"/>
    </row>
    <row r="305" spans="1:19" x14ac:dyDescent="0.25">
      <c r="A305" s="23" t="s">
        <v>483</v>
      </c>
      <c r="B305" s="1" t="s">
        <v>370</v>
      </c>
      <c r="C305" s="21">
        <v>1033751</v>
      </c>
      <c r="D305" s="21" t="s">
        <v>373</v>
      </c>
      <c r="E305" s="21" t="s">
        <v>374</v>
      </c>
      <c r="F305" s="28" t="s">
        <v>773</v>
      </c>
      <c r="G305" s="1" t="s">
        <v>657</v>
      </c>
      <c r="H305" s="3"/>
      <c r="I305" s="11">
        <v>1373</v>
      </c>
      <c r="J305" s="11" t="s">
        <v>688</v>
      </c>
      <c r="K305" s="27">
        <v>26.403846153846153</v>
      </c>
      <c r="L305" s="11">
        <v>100</v>
      </c>
      <c r="M305" s="11">
        <v>200</v>
      </c>
      <c r="N305" s="11">
        <v>200</v>
      </c>
      <c r="O305" s="11">
        <v>100</v>
      </c>
      <c r="P305" s="11">
        <v>100</v>
      </c>
      <c r="Q305" s="11"/>
      <c r="R305" s="11"/>
      <c r="S305" s="11"/>
    </row>
    <row r="306" spans="1:19" x14ac:dyDescent="0.25">
      <c r="A306" s="23" t="s">
        <v>483</v>
      </c>
      <c r="B306" s="1" t="s">
        <v>370</v>
      </c>
      <c r="C306" s="21">
        <v>1038052</v>
      </c>
      <c r="D306" s="21" t="s">
        <v>377</v>
      </c>
      <c r="E306" s="21" t="s">
        <v>381</v>
      </c>
      <c r="F306" s="28" t="s">
        <v>776</v>
      </c>
      <c r="G306" s="1" t="s">
        <v>669</v>
      </c>
      <c r="H306" s="3"/>
      <c r="I306" s="11">
        <v>631</v>
      </c>
      <c r="J306" s="11" t="s">
        <v>688</v>
      </c>
      <c r="K306" s="27">
        <v>12.134615384615385</v>
      </c>
      <c r="L306" s="11">
        <v>100</v>
      </c>
      <c r="M306" s="11">
        <v>100</v>
      </c>
      <c r="N306" s="11">
        <v>100</v>
      </c>
      <c r="O306" s="11">
        <v>100</v>
      </c>
      <c r="P306" s="11">
        <v>75</v>
      </c>
      <c r="Q306" s="11"/>
      <c r="R306" s="11"/>
      <c r="S306" s="11"/>
    </row>
    <row r="307" spans="1:19" x14ac:dyDescent="0.25">
      <c r="A307" s="23" t="s">
        <v>483</v>
      </c>
      <c r="B307" s="1" t="s">
        <v>370</v>
      </c>
      <c r="C307" s="21">
        <v>1033760</v>
      </c>
      <c r="D307" s="21" t="s">
        <v>377</v>
      </c>
      <c r="E307" s="21" t="s">
        <v>378</v>
      </c>
      <c r="F307" s="28" t="s">
        <v>778</v>
      </c>
      <c r="G307" s="1" t="s">
        <v>657</v>
      </c>
      <c r="H307" s="3"/>
      <c r="I307" s="11">
        <v>1024</v>
      </c>
      <c r="J307" s="11" t="s">
        <v>688</v>
      </c>
      <c r="K307" s="27">
        <v>19.692307692307693</v>
      </c>
      <c r="L307" s="11">
        <v>100</v>
      </c>
      <c r="M307" s="11">
        <v>15</v>
      </c>
      <c r="N307" s="11">
        <v>15</v>
      </c>
      <c r="O307" s="11">
        <v>15</v>
      </c>
      <c r="P307" s="11">
        <v>15</v>
      </c>
      <c r="Q307" s="11"/>
      <c r="R307" s="11"/>
      <c r="S307" s="11"/>
    </row>
  </sheetData>
  <sortState ref="A3:M303">
    <sortCondition ref="A3:A303"/>
    <sortCondition ref="B3:B303"/>
    <sortCondition ref="E3:E303"/>
  </sortState>
  <mergeCells count="13">
    <mergeCell ref="H1:H2"/>
    <mergeCell ref="F1:F2"/>
    <mergeCell ref="A1:A2"/>
    <mergeCell ref="B1:B2"/>
    <mergeCell ref="C1:C2"/>
    <mergeCell ref="D1:D2"/>
    <mergeCell ref="E1:E2"/>
    <mergeCell ref="G1:G2"/>
    <mergeCell ref="I1:I2"/>
    <mergeCell ref="K1:K2"/>
    <mergeCell ref="J1:J2"/>
    <mergeCell ref="M1:S1"/>
    <mergeCell ref="L1:L2"/>
  </mergeCells>
  <pageMargins left="0.25" right="0.25" top="0.75" bottom="0.75" header="0.3" footer="0.3"/>
  <pageSetup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0"/>
  <sheetViews>
    <sheetView workbookViewId="0">
      <selection activeCell="O186" sqref="O186"/>
    </sheetView>
  </sheetViews>
  <sheetFormatPr defaultRowHeight="15" x14ac:dyDescent="0.25"/>
  <cols>
    <col min="1" max="1" width="9.7109375" style="13" bestFit="1" customWidth="1"/>
    <col min="2" max="2" width="8" style="13" bestFit="1" customWidth="1"/>
    <col min="3" max="3" width="12.140625" style="13" bestFit="1" customWidth="1"/>
    <col min="4" max="4" width="35.140625" style="13" bestFit="1" customWidth="1"/>
    <col min="5" max="5" width="16.28515625" style="13" customWidth="1"/>
    <col min="6" max="6" width="7.5703125" style="13" customWidth="1"/>
    <col min="7" max="7" width="10.140625" style="13" customWidth="1"/>
    <col min="8" max="8" width="9" style="13" customWidth="1"/>
    <col min="9" max="9" width="9.7109375" style="13" customWidth="1"/>
    <col min="10" max="10" width="1.42578125" customWidth="1"/>
    <col min="11" max="12" width="16.140625" style="5" customWidth="1"/>
    <col min="13" max="13" width="1.42578125" style="5" customWidth="1"/>
    <col min="14" max="17" width="16.140625" style="5" customWidth="1"/>
  </cols>
  <sheetData>
    <row r="1" spans="1:1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597</v>
      </c>
      <c r="F1" s="12" t="s">
        <v>594</v>
      </c>
      <c r="G1" s="13" t="s">
        <v>595</v>
      </c>
      <c r="H1" s="13" t="s">
        <v>596</v>
      </c>
      <c r="K1" s="4" t="s">
        <v>588</v>
      </c>
      <c r="L1" s="4" t="s">
        <v>589</v>
      </c>
      <c r="N1" s="4" t="s">
        <v>590</v>
      </c>
      <c r="O1" s="4" t="s">
        <v>591</v>
      </c>
      <c r="P1" s="4" t="s">
        <v>592</v>
      </c>
      <c r="Q1" s="4" t="s">
        <v>593</v>
      </c>
    </row>
    <row r="2" spans="1:17" x14ac:dyDescent="0.25">
      <c r="A2" s="1">
        <v>85402</v>
      </c>
      <c r="B2" s="1">
        <v>1136836</v>
      </c>
      <c r="C2" s="1" t="s">
        <v>19</v>
      </c>
      <c r="D2" s="1" t="s">
        <v>20</v>
      </c>
      <c r="E2" s="1" t="s">
        <v>598</v>
      </c>
      <c r="F2" s="13">
        <v>20.5</v>
      </c>
      <c r="G2" s="13">
        <v>93</v>
      </c>
      <c r="H2" s="14">
        <v>2879.71</v>
      </c>
      <c r="I2" s="15">
        <v>42205</v>
      </c>
      <c r="K2" s="3">
        <v>44.99</v>
      </c>
      <c r="L2" s="3">
        <v>16.989999999999998</v>
      </c>
      <c r="N2" s="9">
        <v>42.99</v>
      </c>
      <c r="O2" s="9">
        <f t="shared" ref="O2:O33" si="0">N2*0.5</f>
        <v>21.495000000000001</v>
      </c>
      <c r="P2" s="10">
        <f t="shared" ref="P2:P33" si="1">(O2-L2)/L2</f>
        <v>0.26515597410241337</v>
      </c>
      <c r="Q2" s="10">
        <f t="shared" ref="Q2:Q33" si="2">(O2-F2)/F2</f>
        <v>4.8536585365853709E-2</v>
      </c>
    </row>
    <row r="3" spans="1:17" hidden="1" x14ac:dyDescent="0.25">
      <c r="A3" s="1">
        <v>85300</v>
      </c>
      <c r="B3" s="1">
        <v>1147510</v>
      </c>
      <c r="C3" s="1" t="s">
        <v>12</v>
      </c>
      <c r="D3" s="1" t="s">
        <v>13</v>
      </c>
      <c r="E3" s="1" t="s">
        <v>599</v>
      </c>
      <c r="F3" s="13">
        <v>22.5</v>
      </c>
      <c r="G3" s="13">
        <v>2</v>
      </c>
      <c r="H3" s="13">
        <v>64.98</v>
      </c>
      <c r="I3" s="15">
        <v>39451</v>
      </c>
      <c r="K3" s="3">
        <v>49.99</v>
      </c>
      <c r="L3" s="16">
        <v>19.989999999999998</v>
      </c>
      <c r="N3" s="9">
        <v>47.99</v>
      </c>
      <c r="O3" s="9">
        <f t="shared" si="0"/>
        <v>23.995000000000001</v>
      </c>
      <c r="P3" s="10">
        <f t="shared" si="1"/>
        <v>0.20035017508754391</v>
      </c>
      <c r="Q3" s="10">
        <f t="shared" si="2"/>
        <v>6.6444444444444486E-2</v>
      </c>
    </row>
    <row r="4" spans="1:17" hidden="1" x14ac:dyDescent="0.25">
      <c r="A4" s="1">
        <v>85503</v>
      </c>
      <c r="B4" s="1">
        <v>1054651</v>
      </c>
      <c r="C4" s="1" t="s">
        <v>30</v>
      </c>
      <c r="D4" s="1" t="s">
        <v>31</v>
      </c>
      <c r="E4" s="1" t="s">
        <v>600</v>
      </c>
      <c r="F4" s="13">
        <v>7</v>
      </c>
      <c r="G4" s="13">
        <v>20</v>
      </c>
      <c r="H4" s="13">
        <v>203.87</v>
      </c>
      <c r="I4" s="15">
        <v>42227</v>
      </c>
      <c r="K4" s="3">
        <v>15.99</v>
      </c>
      <c r="L4" s="3">
        <v>7.5</v>
      </c>
      <c r="N4" s="9">
        <v>15.49</v>
      </c>
      <c r="O4" s="9">
        <f t="shared" si="0"/>
        <v>7.7450000000000001</v>
      </c>
      <c r="P4" s="10">
        <f t="shared" si="1"/>
        <v>3.2666666666666684E-2</v>
      </c>
      <c r="Q4" s="10">
        <f t="shared" si="2"/>
        <v>0.10642857142857144</v>
      </c>
    </row>
    <row r="5" spans="1:17" hidden="1" x14ac:dyDescent="0.25">
      <c r="A5" s="1">
        <v>85601</v>
      </c>
      <c r="B5" s="1">
        <v>1136984</v>
      </c>
      <c r="C5" s="1" t="s">
        <v>51</v>
      </c>
      <c r="D5" s="1" t="s">
        <v>52</v>
      </c>
      <c r="E5" s="1" t="s">
        <v>599</v>
      </c>
      <c r="F5" s="13">
        <v>60</v>
      </c>
      <c r="G5" s="13">
        <v>19</v>
      </c>
      <c r="H5" s="14">
        <v>1632.93</v>
      </c>
      <c r="I5" s="15">
        <v>42227</v>
      </c>
      <c r="K5" s="3">
        <v>129.99</v>
      </c>
      <c r="L5" s="3">
        <v>62.99</v>
      </c>
      <c r="N5" s="9">
        <v>125.99</v>
      </c>
      <c r="O5" s="9">
        <f t="shared" si="0"/>
        <v>62.994999999999997</v>
      </c>
      <c r="P5" s="10">
        <f t="shared" si="1"/>
        <v>7.9377678996593945E-5</v>
      </c>
      <c r="Q5" s="10">
        <f t="shared" si="2"/>
        <v>4.9916666666666623E-2</v>
      </c>
    </row>
    <row r="6" spans="1:17" hidden="1" x14ac:dyDescent="0.25">
      <c r="A6" s="1">
        <v>85402</v>
      </c>
      <c r="B6" s="1">
        <v>1137131</v>
      </c>
      <c r="C6" s="1" t="s">
        <v>94</v>
      </c>
      <c r="D6" s="1" t="s">
        <v>95</v>
      </c>
      <c r="E6" s="1" t="s">
        <v>601</v>
      </c>
      <c r="F6" s="13">
        <v>16.5</v>
      </c>
      <c r="G6" s="13">
        <v>180</v>
      </c>
      <c r="H6" s="14">
        <v>4376.9399999999996</v>
      </c>
      <c r="I6" s="15">
        <v>42227</v>
      </c>
      <c r="K6" s="3">
        <v>36.99</v>
      </c>
      <c r="L6" s="3">
        <v>14.99</v>
      </c>
      <c r="N6" s="9">
        <v>35.99</v>
      </c>
      <c r="O6" s="9">
        <f t="shared" si="0"/>
        <v>17.995000000000001</v>
      </c>
      <c r="P6" s="10">
        <f t="shared" si="1"/>
        <v>0.20046697798532359</v>
      </c>
      <c r="Q6" s="10">
        <f t="shared" si="2"/>
        <v>9.0606060606060662E-2</v>
      </c>
    </row>
    <row r="7" spans="1:17" hidden="1" x14ac:dyDescent="0.25">
      <c r="A7" s="1">
        <v>85401</v>
      </c>
      <c r="B7" s="1">
        <v>1137158</v>
      </c>
      <c r="C7" s="1" t="s">
        <v>42</v>
      </c>
      <c r="D7" s="1" t="s">
        <v>43</v>
      </c>
      <c r="E7" s="1" t="s">
        <v>602</v>
      </c>
      <c r="F7" s="12">
        <v>19</v>
      </c>
      <c r="G7" s="13">
        <v>4</v>
      </c>
      <c r="H7" s="13">
        <v>111.16</v>
      </c>
      <c r="K7" s="3">
        <v>39.99</v>
      </c>
      <c r="L7" s="3">
        <v>8.99</v>
      </c>
      <c r="N7" s="9">
        <f>K7*0.95</f>
        <v>37.990499999999997</v>
      </c>
      <c r="O7" s="9">
        <f t="shared" si="0"/>
        <v>18.995249999999999</v>
      </c>
      <c r="P7" s="10">
        <f t="shared" si="1"/>
        <v>1.1129310344827583</v>
      </c>
      <c r="Q7" s="10">
        <f t="shared" si="2"/>
        <v>-2.5000000000007178E-4</v>
      </c>
    </row>
    <row r="8" spans="1:17" hidden="1" x14ac:dyDescent="0.25">
      <c r="A8" s="1">
        <v>85200</v>
      </c>
      <c r="B8" s="1">
        <v>1054627</v>
      </c>
      <c r="C8" s="1" t="s">
        <v>7</v>
      </c>
      <c r="D8" s="1" t="s">
        <v>8</v>
      </c>
      <c r="E8" s="1" t="s">
        <v>603</v>
      </c>
      <c r="F8" s="12">
        <v>2.25</v>
      </c>
      <c r="G8" s="17">
        <v>1082</v>
      </c>
      <c r="H8" s="14">
        <v>4021.26</v>
      </c>
      <c r="K8" s="9">
        <v>5.99</v>
      </c>
      <c r="L8" s="9">
        <v>1.39</v>
      </c>
      <c r="N8" s="9">
        <f>K8*0.95</f>
        <v>5.6905000000000001</v>
      </c>
      <c r="O8" s="9">
        <f t="shared" si="0"/>
        <v>2.8452500000000001</v>
      </c>
      <c r="P8" s="10">
        <f t="shared" si="1"/>
        <v>1.0469424460431656</v>
      </c>
      <c r="Q8" s="10">
        <f t="shared" si="2"/>
        <v>0.2645555555555556</v>
      </c>
    </row>
    <row r="9" spans="1:17" hidden="1" x14ac:dyDescent="0.25">
      <c r="A9" s="1">
        <v>85401</v>
      </c>
      <c r="B9" s="1">
        <v>1054589</v>
      </c>
      <c r="C9" s="1" t="s">
        <v>59</v>
      </c>
      <c r="D9" s="1" t="s">
        <v>60</v>
      </c>
      <c r="E9" s="1" t="s">
        <v>604</v>
      </c>
      <c r="F9" s="13">
        <v>16.5</v>
      </c>
      <c r="G9" s="13">
        <v>41</v>
      </c>
      <c r="H9" s="14">
        <v>1041.3699999999999</v>
      </c>
      <c r="I9" s="15">
        <v>42205</v>
      </c>
      <c r="K9" s="3">
        <v>34.99</v>
      </c>
      <c r="L9" s="16">
        <v>17.989999999999998</v>
      </c>
      <c r="N9" s="9">
        <v>34.99</v>
      </c>
      <c r="O9" s="9">
        <f t="shared" si="0"/>
        <v>17.495000000000001</v>
      </c>
      <c r="P9" s="10">
        <f t="shared" si="1"/>
        <v>-2.7515286270149944E-2</v>
      </c>
      <c r="Q9" s="10">
        <f t="shared" si="2"/>
        <v>6.0303030303030365E-2</v>
      </c>
    </row>
    <row r="10" spans="1:17" hidden="1" x14ac:dyDescent="0.25">
      <c r="A10" s="1">
        <v>85502</v>
      </c>
      <c r="B10" s="1">
        <v>1136909</v>
      </c>
      <c r="C10" s="1" t="s">
        <v>144</v>
      </c>
      <c r="D10" s="1" t="s">
        <v>145</v>
      </c>
      <c r="E10" s="1" t="s">
        <v>605</v>
      </c>
      <c r="F10" s="12">
        <v>18.5</v>
      </c>
      <c r="G10" s="13">
        <v>13</v>
      </c>
      <c r="H10" s="13">
        <v>347.21</v>
      </c>
      <c r="K10" s="3">
        <v>39.99</v>
      </c>
      <c r="L10" s="3">
        <v>14.99</v>
      </c>
      <c r="N10" s="9">
        <f>K10*0.95</f>
        <v>37.990499999999997</v>
      </c>
      <c r="O10" s="9">
        <f t="shared" si="0"/>
        <v>18.995249999999999</v>
      </c>
      <c r="P10" s="10">
        <f t="shared" si="1"/>
        <v>0.26719479653102057</v>
      </c>
      <c r="Q10" s="10">
        <f t="shared" si="2"/>
        <v>2.6770270270270197E-2</v>
      </c>
    </row>
    <row r="11" spans="1:17" hidden="1" x14ac:dyDescent="0.25">
      <c r="A11" s="1">
        <v>85402</v>
      </c>
      <c r="B11" s="1">
        <v>1136844</v>
      </c>
      <c r="C11" s="1" t="s">
        <v>128</v>
      </c>
      <c r="D11" s="1" t="s">
        <v>129</v>
      </c>
      <c r="E11" s="1" t="s">
        <v>598</v>
      </c>
      <c r="F11" s="12">
        <v>23.5</v>
      </c>
      <c r="G11" s="13">
        <v>22</v>
      </c>
      <c r="H11" s="13">
        <v>775.93</v>
      </c>
      <c r="K11" s="3">
        <v>49.99</v>
      </c>
      <c r="L11" s="16">
        <v>12.99</v>
      </c>
      <c r="N11" s="9">
        <v>48.99</v>
      </c>
      <c r="O11" s="9">
        <f t="shared" si="0"/>
        <v>24.495000000000001</v>
      </c>
      <c r="P11" s="10">
        <f t="shared" si="1"/>
        <v>0.88568129330254042</v>
      </c>
      <c r="Q11" s="10">
        <f t="shared" si="2"/>
        <v>4.2340425531914937E-2</v>
      </c>
    </row>
    <row r="12" spans="1:17" hidden="1" x14ac:dyDescent="0.25">
      <c r="A12" s="1">
        <v>85504</v>
      </c>
      <c r="B12" s="1">
        <v>1137000</v>
      </c>
      <c r="C12" s="1" t="s">
        <v>33</v>
      </c>
      <c r="D12" s="1" t="s">
        <v>34</v>
      </c>
      <c r="E12" s="1" t="s">
        <v>606</v>
      </c>
      <c r="F12" s="12">
        <v>19</v>
      </c>
      <c r="G12" s="13">
        <v>10</v>
      </c>
      <c r="H12" s="13">
        <v>296.95</v>
      </c>
      <c r="K12" s="3">
        <v>39.99</v>
      </c>
      <c r="L12" s="3">
        <v>9.99</v>
      </c>
      <c r="N12" s="9">
        <f>K12*0.95</f>
        <v>37.990499999999997</v>
      </c>
      <c r="O12" s="9">
        <f t="shared" si="0"/>
        <v>18.995249999999999</v>
      </c>
      <c r="P12" s="10">
        <f t="shared" si="1"/>
        <v>0.90142642642642623</v>
      </c>
      <c r="Q12" s="10">
        <f t="shared" si="2"/>
        <v>-2.5000000000007178E-4</v>
      </c>
    </row>
    <row r="13" spans="1:17" hidden="1" x14ac:dyDescent="0.25">
      <c r="A13" s="1">
        <v>85402</v>
      </c>
      <c r="B13" s="1">
        <v>1136852</v>
      </c>
      <c r="C13" s="1" t="s">
        <v>228</v>
      </c>
      <c r="D13" s="1" t="s">
        <v>229</v>
      </c>
      <c r="E13" s="1" t="s">
        <v>598</v>
      </c>
      <c r="F13" s="12">
        <v>18</v>
      </c>
      <c r="G13" s="13">
        <v>12</v>
      </c>
      <c r="H13" s="13">
        <v>321.33999999999997</v>
      </c>
      <c r="K13" s="3">
        <v>39.99</v>
      </c>
      <c r="L13" s="16">
        <v>12.99</v>
      </c>
      <c r="N13" s="9">
        <f>K13*0.95</f>
        <v>37.990499999999997</v>
      </c>
      <c r="O13" s="9">
        <f t="shared" si="0"/>
        <v>18.995249999999999</v>
      </c>
      <c r="P13" s="10">
        <f t="shared" si="1"/>
        <v>0.46229792147805993</v>
      </c>
      <c r="Q13" s="10">
        <f t="shared" si="2"/>
        <v>5.5291666666666593E-2</v>
      </c>
    </row>
    <row r="14" spans="1:17" hidden="1" x14ac:dyDescent="0.25">
      <c r="A14" s="1">
        <v>85300</v>
      </c>
      <c r="B14" s="1">
        <v>1054635</v>
      </c>
      <c r="C14" s="1" t="s">
        <v>16</v>
      </c>
      <c r="D14" s="1" t="s">
        <v>17</v>
      </c>
      <c r="E14" s="1" t="s">
        <v>607</v>
      </c>
      <c r="F14" s="12">
        <v>18.5</v>
      </c>
      <c r="G14" s="13">
        <v>42</v>
      </c>
      <c r="H14" s="14">
        <v>1155.46</v>
      </c>
      <c r="K14" s="3">
        <v>39.99</v>
      </c>
      <c r="L14" s="3">
        <v>13.99</v>
      </c>
      <c r="N14" s="9">
        <f>K14*0.95</f>
        <v>37.990499999999997</v>
      </c>
      <c r="O14" s="9">
        <f t="shared" si="0"/>
        <v>18.995249999999999</v>
      </c>
      <c r="P14" s="10">
        <f t="shared" si="1"/>
        <v>0.35777340957827009</v>
      </c>
      <c r="Q14" s="10">
        <f t="shared" si="2"/>
        <v>2.6770270270270197E-2</v>
      </c>
    </row>
    <row r="15" spans="1:17" hidden="1" x14ac:dyDescent="0.25">
      <c r="A15" s="1">
        <v>85503</v>
      </c>
      <c r="B15" s="1">
        <v>1147293</v>
      </c>
      <c r="C15" s="1" t="s">
        <v>608</v>
      </c>
      <c r="D15" s="1" t="s">
        <v>609</v>
      </c>
      <c r="E15" s="18" t="s">
        <v>610</v>
      </c>
      <c r="F15" s="13">
        <v>4</v>
      </c>
      <c r="G15" s="13">
        <v>15</v>
      </c>
      <c r="H15" s="13">
        <v>117.85</v>
      </c>
      <c r="I15" s="15">
        <v>39451</v>
      </c>
      <c r="K15" s="3">
        <v>10.99</v>
      </c>
      <c r="L15" s="3">
        <v>3.75</v>
      </c>
      <c r="N15" s="9">
        <v>9.99</v>
      </c>
      <c r="O15" s="9">
        <f t="shared" si="0"/>
        <v>4.9950000000000001</v>
      </c>
      <c r="P15" s="10">
        <f t="shared" si="1"/>
        <v>0.33200000000000002</v>
      </c>
      <c r="Q15" s="10">
        <f t="shared" si="2"/>
        <v>0.24875000000000003</v>
      </c>
    </row>
    <row r="16" spans="1:17" hidden="1" x14ac:dyDescent="0.25">
      <c r="A16" s="1">
        <v>85300</v>
      </c>
      <c r="B16" s="1">
        <v>1137026</v>
      </c>
      <c r="C16" s="1" t="s">
        <v>21</v>
      </c>
      <c r="D16" s="1" t="s">
        <v>22</v>
      </c>
      <c r="E16" s="1" t="s">
        <v>599</v>
      </c>
      <c r="F16" s="12">
        <v>14</v>
      </c>
      <c r="G16" s="13">
        <v>22</v>
      </c>
      <c r="H16" s="13">
        <v>485.87</v>
      </c>
      <c r="K16" s="3">
        <v>29.99</v>
      </c>
      <c r="L16" s="3">
        <v>14.99</v>
      </c>
      <c r="N16" s="9">
        <v>29.99</v>
      </c>
      <c r="O16" s="9">
        <f t="shared" si="0"/>
        <v>14.994999999999999</v>
      </c>
      <c r="P16" s="10">
        <f t="shared" si="1"/>
        <v>3.3355570380246864E-4</v>
      </c>
      <c r="Q16" s="10">
        <f t="shared" si="2"/>
        <v>7.1071428571428522E-2</v>
      </c>
    </row>
    <row r="17" spans="1:17" hidden="1" x14ac:dyDescent="0.25">
      <c r="A17" s="1">
        <v>85401</v>
      </c>
      <c r="B17" s="1">
        <v>1137077</v>
      </c>
      <c r="C17" s="1" t="s">
        <v>61</v>
      </c>
      <c r="D17" s="1" t="s">
        <v>62</v>
      </c>
      <c r="E17" s="1" t="s">
        <v>602</v>
      </c>
      <c r="F17" s="12">
        <v>12.5</v>
      </c>
      <c r="G17" s="13">
        <v>42</v>
      </c>
      <c r="H17" s="13">
        <v>758.76</v>
      </c>
      <c r="K17" s="3">
        <v>29.99</v>
      </c>
      <c r="L17" s="16">
        <v>7.99</v>
      </c>
      <c r="N17" s="9">
        <v>28.99</v>
      </c>
      <c r="O17" s="9">
        <f t="shared" si="0"/>
        <v>14.494999999999999</v>
      </c>
      <c r="P17" s="10">
        <f t="shared" si="1"/>
        <v>0.81414267834793475</v>
      </c>
      <c r="Q17" s="10">
        <f t="shared" si="2"/>
        <v>0.15959999999999994</v>
      </c>
    </row>
    <row r="18" spans="1:17" hidden="1" x14ac:dyDescent="0.25">
      <c r="A18" s="1">
        <v>85504</v>
      </c>
      <c r="B18" s="1">
        <v>1137018</v>
      </c>
      <c r="C18" s="1" t="s">
        <v>92</v>
      </c>
      <c r="D18" s="1" t="s">
        <v>93</v>
      </c>
      <c r="E18" s="1" t="s">
        <v>611</v>
      </c>
      <c r="F18" s="12">
        <v>8.5</v>
      </c>
      <c r="G18" s="13">
        <v>103</v>
      </c>
      <c r="H18" s="14">
        <v>1388.61</v>
      </c>
      <c r="K18" s="3">
        <v>19.989999999999998</v>
      </c>
      <c r="L18" s="3">
        <v>5.5</v>
      </c>
      <c r="N18" s="9">
        <f>K18*0.95</f>
        <v>18.990499999999997</v>
      </c>
      <c r="O18" s="9">
        <f t="shared" si="0"/>
        <v>9.4952499999999986</v>
      </c>
      <c r="P18" s="10">
        <f t="shared" si="1"/>
        <v>0.72640909090909067</v>
      </c>
      <c r="Q18" s="10">
        <f t="shared" si="2"/>
        <v>0.11708823529411749</v>
      </c>
    </row>
    <row r="19" spans="1:17" hidden="1" x14ac:dyDescent="0.25">
      <c r="A19" s="1">
        <v>85601</v>
      </c>
      <c r="B19" s="1">
        <v>1054678</v>
      </c>
      <c r="C19" s="1" t="s">
        <v>76</v>
      </c>
      <c r="D19" s="1" t="s">
        <v>77</v>
      </c>
      <c r="E19" s="1" t="s">
        <v>612</v>
      </c>
      <c r="F19" s="13">
        <v>9</v>
      </c>
      <c r="G19" s="13">
        <v>50</v>
      </c>
      <c r="H19" s="13">
        <v>671.74</v>
      </c>
      <c r="I19" s="15">
        <v>42205</v>
      </c>
      <c r="K19" s="3">
        <v>19.989999999999998</v>
      </c>
      <c r="L19" s="3">
        <v>5.99</v>
      </c>
      <c r="N19" s="9">
        <f>K19*0.95</f>
        <v>18.990499999999997</v>
      </c>
      <c r="O19" s="9">
        <f t="shared" si="0"/>
        <v>9.4952499999999986</v>
      </c>
      <c r="P19" s="10">
        <f t="shared" si="1"/>
        <v>0.58518363939899809</v>
      </c>
      <c r="Q19" s="10">
        <f t="shared" si="2"/>
        <v>5.5027777777777627E-2</v>
      </c>
    </row>
    <row r="20" spans="1:17" hidden="1" x14ac:dyDescent="0.25">
      <c r="A20" s="1">
        <v>85200</v>
      </c>
      <c r="B20" s="1">
        <v>1033204</v>
      </c>
      <c r="C20" s="1" t="s">
        <v>35</v>
      </c>
      <c r="D20" s="1" t="s">
        <v>36</v>
      </c>
      <c r="E20" s="1" t="s">
        <v>603</v>
      </c>
      <c r="F20" s="13">
        <v>2.75</v>
      </c>
      <c r="G20" s="13">
        <v>91</v>
      </c>
      <c r="H20" s="13">
        <v>305.51</v>
      </c>
      <c r="I20" s="15">
        <v>42242</v>
      </c>
      <c r="K20" s="3">
        <v>6.99</v>
      </c>
      <c r="L20" s="3">
        <v>1.39</v>
      </c>
      <c r="N20" s="9">
        <v>6.49</v>
      </c>
      <c r="O20" s="9">
        <f t="shared" si="0"/>
        <v>3.2450000000000001</v>
      </c>
      <c r="P20" s="10">
        <f t="shared" si="1"/>
        <v>1.3345323741007196</v>
      </c>
      <c r="Q20" s="10">
        <f t="shared" si="2"/>
        <v>0.18000000000000005</v>
      </c>
    </row>
    <row r="21" spans="1:17" hidden="1" x14ac:dyDescent="0.25">
      <c r="A21" s="1">
        <v>85600</v>
      </c>
      <c r="B21" s="1">
        <v>1037420</v>
      </c>
      <c r="C21" s="1" t="s">
        <v>68</v>
      </c>
      <c r="D21" s="1" t="s">
        <v>69</v>
      </c>
      <c r="E21" s="1" t="s">
        <v>613</v>
      </c>
      <c r="F21" s="12">
        <v>19</v>
      </c>
      <c r="G21" s="13">
        <v>2</v>
      </c>
      <c r="H21" s="13">
        <v>57.27</v>
      </c>
      <c r="K21" s="16">
        <v>59.99</v>
      </c>
      <c r="L21" s="16">
        <v>26.99</v>
      </c>
      <c r="N21" s="9">
        <v>59.99</v>
      </c>
      <c r="O21" s="9">
        <f t="shared" si="0"/>
        <v>29.995000000000001</v>
      </c>
      <c r="P21" s="10">
        <f t="shared" si="1"/>
        <v>0.1113375324194147</v>
      </c>
      <c r="Q21" s="10">
        <f t="shared" si="2"/>
        <v>0.5786842105263158</v>
      </c>
    </row>
    <row r="22" spans="1:17" hidden="1" x14ac:dyDescent="0.25">
      <c r="A22" s="1">
        <v>85600</v>
      </c>
      <c r="B22" s="1">
        <v>1037412</v>
      </c>
      <c r="C22" s="1" t="s">
        <v>72</v>
      </c>
      <c r="D22" s="1" t="s">
        <v>73</v>
      </c>
      <c r="E22" s="1" t="s">
        <v>614</v>
      </c>
      <c r="F22" s="12">
        <v>14.25</v>
      </c>
      <c r="G22" s="13">
        <v>6</v>
      </c>
      <c r="H22" s="13">
        <v>105.3</v>
      </c>
      <c r="K22" s="3">
        <v>39.99</v>
      </c>
      <c r="L22" s="16">
        <v>16.989999999999998</v>
      </c>
      <c r="N22" s="9">
        <f>K22*0.95</f>
        <v>37.990499999999997</v>
      </c>
      <c r="O22" s="9">
        <f t="shared" si="0"/>
        <v>18.995249999999999</v>
      </c>
      <c r="P22" s="10">
        <f t="shared" si="1"/>
        <v>0.11802530900529726</v>
      </c>
      <c r="Q22" s="10">
        <f t="shared" si="2"/>
        <v>0.33299999999999991</v>
      </c>
    </row>
    <row r="23" spans="1:17" hidden="1" x14ac:dyDescent="0.25">
      <c r="A23" s="1">
        <v>85600</v>
      </c>
      <c r="B23" s="1">
        <v>1037404</v>
      </c>
      <c r="C23" s="1" t="s">
        <v>88</v>
      </c>
      <c r="D23" s="1" t="s">
        <v>89</v>
      </c>
      <c r="E23" s="1" t="s">
        <v>615</v>
      </c>
      <c r="F23" s="12">
        <v>9.5</v>
      </c>
      <c r="G23" s="13">
        <v>7</v>
      </c>
      <c r="H23" s="13">
        <v>102.47</v>
      </c>
      <c r="K23" s="3">
        <v>29.99</v>
      </c>
      <c r="L23" s="16">
        <v>9.99</v>
      </c>
      <c r="N23" s="9">
        <v>28.99</v>
      </c>
      <c r="O23" s="9">
        <f t="shared" si="0"/>
        <v>14.494999999999999</v>
      </c>
      <c r="P23" s="10">
        <f t="shared" si="1"/>
        <v>0.45095095095095084</v>
      </c>
      <c r="Q23" s="10">
        <f t="shared" si="2"/>
        <v>0.52578947368421047</v>
      </c>
    </row>
    <row r="24" spans="1:17" hidden="1" x14ac:dyDescent="0.25">
      <c r="A24" s="1">
        <v>85401</v>
      </c>
      <c r="B24" s="1">
        <v>1053256</v>
      </c>
      <c r="C24" s="1" t="s">
        <v>136</v>
      </c>
      <c r="D24" s="1" t="s">
        <v>137</v>
      </c>
      <c r="E24" s="1" t="s">
        <v>612</v>
      </c>
      <c r="F24" s="12">
        <v>17</v>
      </c>
      <c r="G24" s="13">
        <v>66</v>
      </c>
      <c r="H24" s="14">
        <v>1642.25</v>
      </c>
      <c r="K24" s="3">
        <v>28.99</v>
      </c>
      <c r="L24" s="3">
        <v>8.99</v>
      </c>
      <c r="N24" s="9">
        <v>27.99</v>
      </c>
      <c r="O24" s="9">
        <f t="shared" si="0"/>
        <v>13.994999999999999</v>
      </c>
      <c r="P24" s="10">
        <f t="shared" si="1"/>
        <v>0.55672969966629571</v>
      </c>
      <c r="Q24" s="10">
        <f t="shared" si="2"/>
        <v>-0.17676470588235299</v>
      </c>
    </row>
    <row r="25" spans="1:17" hidden="1" x14ac:dyDescent="0.25">
      <c r="A25" s="1">
        <v>85503</v>
      </c>
      <c r="B25" s="1">
        <v>1033131</v>
      </c>
      <c r="C25" s="1" t="s">
        <v>39</v>
      </c>
      <c r="D25" s="1" t="s">
        <v>40</v>
      </c>
      <c r="E25" s="1" t="s">
        <v>612</v>
      </c>
      <c r="F25" s="13">
        <v>6</v>
      </c>
      <c r="G25" s="13">
        <v>68</v>
      </c>
      <c r="H25" s="13">
        <v>625.09</v>
      </c>
      <c r="I25" s="15">
        <v>42242</v>
      </c>
      <c r="K25" s="3">
        <v>17.989999999999998</v>
      </c>
      <c r="L25" s="3">
        <v>4.99</v>
      </c>
      <c r="N25" s="9">
        <v>16.989999999999998</v>
      </c>
      <c r="O25" s="9">
        <f t="shared" si="0"/>
        <v>8.4949999999999992</v>
      </c>
      <c r="P25" s="10">
        <f t="shared" si="1"/>
        <v>0.70240480961923824</v>
      </c>
      <c r="Q25" s="10">
        <f t="shared" si="2"/>
        <v>0.41583333333333322</v>
      </c>
    </row>
    <row r="26" spans="1:17" hidden="1" x14ac:dyDescent="0.25">
      <c r="A26" s="1">
        <v>85502</v>
      </c>
      <c r="B26" s="1">
        <v>1037005</v>
      </c>
      <c r="C26" s="1" t="s">
        <v>162</v>
      </c>
      <c r="D26" s="1" t="s">
        <v>163</v>
      </c>
      <c r="E26" s="1" t="s">
        <v>616</v>
      </c>
      <c r="F26" s="12">
        <v>6</v>
      </c>
      <c r="G26" s="13">
        <v>10</v>
      </c>
      <c r="H26" s="13">
        <v>93.75</v>
      </c>
      <c r="K26" s="3">
        <v>11.99</v>
      </c>
      <c r="L26" s="16">
        <v>3.99</v>
      </c>
      <c r="N26" s="9">
        <v>11.99</v>
      </c>
      <c r="O26" s="9">
        <f t="shared" si="0"/>
        <v>5.9950000000000001</v>
      </c>
      <c r="P26" s="10">
        <f t="shared" si="1"/>
        <v>0.50250626566416035</v>
      </c>
      <c r="Q26" s="10">
        <f t="shared" si="2"/>
        <v>-8.3333333333331561E-4</v>
      </c>
    </row>
    <row r="27" spans="1:17" hidden="1" x14ac:dyDescent="0.25">
      <c r="A27" s="1">
        <v>85300</v>
      </c>
      <c r="B27" s="1">
        <v>1033492</v>
      </c>
      <c r="C27" s="1" t="s">
        <v>57</v>
      </c>
      <c r="D27" s="1" t="s">
        <v>58</v>
      </c>
      <c r="E27" s="1" t="s">
        <v>617</v>
      </c>
      <c r="F27" s="12">
        <v>77.5</v>
      </c>
      <c r="G27" s="13">
        <v>2</v>
      </c>
      <c r="H27" s="13">
        <v>211.36</v>
      </c>
      <c r="K27" s="3">
        <v>199.99</v>
      </c>
      <c r="L27" s="16">
        <v>61.99</v>
      </c>
      <c r="N27" s="9">
        <f>K27*0.95</f>
        <v>189.9905</v>
      </c>
      <c r="O27" s="9">
        <f t="shared" si="0"/>
        <v>94.995249999999999</v>
      </c>
      <c r="P27" s="10">
        <f t="shared" si="1"/>
        <v>0.53242861751895465</v>
      </c>
      <c r="Q27" s="10">
        <f t="shared" si="2"/>
        <v>0.22574516129032257</v>
      </c>
    </row>
    <row r="28" spans="1:17" hidden="1" x14ac:dyDescent="0.25">
      <c r="A28" s="1">
        <v>85300</v>
      </c>
      <c r="B28" s="1">
        <v>1033484</v>
      </c>
      <c r="C28" s="1" t="s">
        <v>74</v>
      </c>
      <c r="D28" s="1" t="s">
        <v>75</v>
      </c>
      <c r="E28" s="1" t="s">
        <v>614</v>
      </c>
      <c r="F28" s="13">
        <v>65</v>
      </c>
      <c r="G28" s="13">
        <v>9</v>
      </c>
      <c r="H28" s="13">
        <v>912.59</v>
      </c>
      <c r="I28" s="15">
        <v>42242</v>
      </c>
      <c r="K28" s="3">
        <v>139.99</v>
      </c>
      <c r="L28" s="16">
        <v>37.99</v>
      </c>
      <c r="N28" s="9">
        <f>K28*0.95</f>
        <v>132.9905</v>
      </c>
      <c r="O28" s="9">
        <f t="shared" si="0"/>
        <v>66.495249999999999</v>
      </c>
      <c r="P28" s="10">
        <f t="shared" si="1"/>
        <v>0.7503356146354303</v>
      </c>
      <c r="Q28" s="10">
        <f t="shared" si="2"/>
        <v>2.3003846153846132E-2</v>
      </c>
    </row>
    <row r="29" spans="1:17" hidden="1" x14ac:dyDescent="0.25">
      <c r="A29" s="1">
        <v>85300</v>
      </c>
      <c r="B29" s="1">
        <v>1033476</v>
      </c>
      <c r="C29" s="1" t="s">
        <v>84</v>
      </c>
      <c r="D29" s="1" t="s">
        <v>85</v>
      </c>
      <c r="E29" s="1" t="s">
        <v>610</v>
      </c>
      <c r="F29" s="13">
        <v>47.5</v>
      </c>
      <c r="G29" s="13">
        <v>8</v>
      </c>
      <c r="H29" s="13">
        <v>574.69000000000005</v>
      </c>
      <c r="I29" s="15">
        <v>42205</v>
      </c>
      <c r="K29" s="3">
        <v>89.99</v>
      </c>
      <c r="L29" s="16">
        <v>24.99</v>
      </c>
      <c r="N29" s="9">
        <v>89.99</v>
      </c>
      <c r="O29" s="9">
        <f t="shared" si="0"/>
        <v>44.994999999999997</v>
      </c>
      <c r="P29" s="10">
        <f t="shared" si="1"/>
        <v>0.80052020808323332</v>
      </c>
      <c r="Q29" s="10">
        <f t="shared" si="2"/>
        <v>-5.2736842105263214E-2</v>
      </c>
    </row>
    <row r="30" spans="1:17" hidden="1" x14ac:dyDescent="0.25">
      <c r="A30" s="1">
        <v>85200</v>
      </c>
      <c r="B30" s="1">
        <v>1033212</v>
      </c>
      <c r="C30" s="1" t="s">
        <v>14</v>
      </c>
      <c r="D30" s="1" t="s">
        <v>15</v>
      </c>
      <c r="E30" s="1" t="s">
        <v>603</v>
      </c>
      <c r="F30" s="13">
        <v>2.25</v>
      </c>
      <c r="G30" s="13">
        <v>207</v>
      </c>
      <c r="H30" s="13">
        <v>646.64</v>
      </c>
      <c r="I30" s="15">
        <v>42205</v>
      </c>
      <c r="K30" s="3">
        <v>5.49</v>
      </c>
      <c r="L30" s="3">
        <v>1.49</v>
      </c>
      <c r="N30" s="9">
        <v>5.29</v>
      </c>
      <c r="O30" s="9">
        <f t="shared" si="0"/>
        <v>2.645</v>
      </c>
      <c r="P30" s="10">
        <f t="shared" si="1"/>
        <v>0.77516778523489938</v>
      </c>
      <c r="Q30" s="10">
        <f t="shared" si="2"/>
        <v>0.17555555555555558</v>
      </c>
    </row>
    <row r="31" spans="1:17" hidden="1" x14ac:dyDescent="0.25">
      <c r="A31" s="1">
        <v>85300</v>
      </c>
      <c r="B31" s="1">
        <v>1033611</v>
      </c>
      <c r="C31" s="1" t="s">
        <v>86</v>
      </c>
      <c r="D31" s="1" t="s">
        <v>87</v>
      </c>
      <c r="E31" s="1" t="s">
        <v>618</v>
      </c>
      <c r="F31" s="12">
        <v>41</v>
      </c>
      <c r="G31" s="13">
        <v>12</v>
      </c>
      <c r="H31" s="13">
        <v>680.11</v>
      </c>
      <c r="K31" s="3">
        <v>79.989999999999995</v>
      </c>
      <c r="L31" s="3">
        <v>36.99</v>
      </c>
      <c r="N31" s="9">
        <v>78.989999999999995</v>
      </c>
      <c r="O31" s="9">
        <f t="shared" si="0"/>
        <v>39.494999999999997</v>
      </c>
      <c r="P31" s="10">
        <f t="shared" si="1"/>
        <v>6.7721005677209928E-2</v>
      </c>
      <c r="Q31" s="10">
        <f t="shared" si="2"/>
        <v>-3.6707317073170792E-2</v>
      </c>
    </row>
    <row r="32" spans="1:17" hidden="1" x14ac:dyDescent="0.25">
      <c r="A32" s="1">
        <v>85300</v>
      </c>
      <c r="B32" s="1">
        <v>1033603</v>
      </c>
      <c r="C32" s="1" t="s">
        <v>100</v>
      </c>
      <c r="D32" s="1" t="s">
        <v>101</v>
      </c>
      <c r="E32" s="1" t="s">
        <v>607</v>
      </c>
      <c r="F32" s="12">
        <v>27</v>
      </c>
      <c r="G32" s="13">
        <v>27</v>
      </c>
      <c r="H32" s="14">
        <v>1101.48</v>
      </c>
      <c r="K32" s="3">
        <v>59.99</v>
      </c>
      <c r="L32" s="3">
        <v>26.99</v>
      </c>
      <c r="N32" s="9">
        <v>57.99</v>
      </c>
      <c r="O32" s="9">
        <f t="shared" si="0"/>
        <v>28.995000000000001</v>
      </c>
      <c r="P32" s="10">
        <f t="shared" si="1"/>
        <v>7.428677287884411E-2</v>
      </c>
      <c r="Q32" s="10">
        <f t="shared" si="2"/>
        <v>7.3888888888888921E-2</v>
      </c>
    </row>
    <row r="33" spans="1:17" hidden="1" x14ac:dyDescent="0.25">
      <c r="A33" s="1">
        <v>85300</v>
      </c>
      <c r="B33" s="1">
        <v>1033590</v>
      </c>
      <c r="C33" s="1" t="s">
        <v>102</v>
      </c>
      <c r="D33" s="1" t="s">
        <v>103</v>
      </c>
      <c r="E33" s="1" t="s">
        <v>612</v>
      </c>
      <c r="F33" s="12">
        <v>18.5</v>
      </c>
      <c r="G33" s="13">
        <v>190</v>
      </c>
      <c r="H33" s="14">
        <v>5120.42</v>
      </c>
      <c r="K33" s="3">
        <v>54.99</v>
      </c>
      <c r="L33" s="3">
        <v>18.989999999999998</v>
      </c>
      <c r="N33" s="9">
        <v>49.99</v>
      </c>
      <c r="O33" s="9">
        <f t="shared" si="0"/>
        <v>24.995000000000001</v>
      </c>
      <c r="P33" s="10">
        <f t="shared" si="1"/>
        <v>0.31621906266456046</v>
      </c>
      <c r="Q33" s="10">
        <f t="shared" si="2"/>
        <v>0.35108108108108116</v>
      </c>
    </row>
    <row r="34" spans="1:17" hidden="1" x14ac:dyDescent="0.25">
      <c r="A34" s="1">
        <v>85401</v>
      </c>
      <c r="B34" s="1">
        <v>1033077</v>
      </c>
      <c r="C34" s="1" t="s">
        <v>154</v>
      </c>
      <c r="D34" s="1" t="s">
        <v>155</v>
      </c>
      <c r="E34" s="1" t="s">
        <v>619</v>
      </c>
      <c r="F34" s="13">
        <v>80</v>
      </c>
      <c r="G34" s="13">
        <v>0</v>
      </c>
      <c r="H34" s="13">
        <v>0</v>
      </c>
      <c r="I34" s="15">
        <v>42242</v>
      </c>
      <c r="K34" s="3">
        <v>179.99</v>
      </c>
      <c r="L34" s="3">
        <v>56.99</v>
      </c>
      <c r="N34" s="9">
        <f>K34*0.95</f>
        <v>170.9905</v>
      </c>
      <c r="O34" s="9">
        <f t="shared" ref="O34:O65" si="3">N34*0.5</f>
        <v>85.495249999999999</v>
      </c>
      <c r="P34" s="10">
        <f t="shared" ref="P34:P65" si="4">(O34-L34)/L34</f>
        <v>0.50017985611510785</v>
      </c>
      <c r="Q34" s="10">
        <f t="shared" ref="Q34:Q65" si="5">(O34-F34)/F34</f>
        <v>6.8690624999999977E-2</v>
      </c>
    </row>
    <row r="35" spans="1:17" hidden="1" x14ac:dyDescent="0.25">
      <c r="A35" s="1">
        <v>85401</v>
      </c>
      <c r="B35" s="1">
        <v>1033069</v>
      </c>
      <c r="C35" s="1" t="s">
        <v>164</v>
      </c>
      <c r="D35" s="1" t="s">
        <v>165</v>
      </c>
      <c r="E35" s="1" t="s">
        <v>620</v>
      </c>
      <c r="F35" s="13">
        <v>60</v>
      </c>
      <c r="G35" s="13">
        <v>6</v>
      </c>
      <c r="H35" s="13">
        <v>641.94000000000005</v>
      </c>
      <c r="I35" s="15">
        <v>42242</v>
      </c>
      <c r="K35" s="3">
        <v>139.99</v>
      </c>
      <c r="L35" s="16">
        <v>49.99</v>
      </c>
      <c r="N35" s="9">
        <f>K35*0.95</f>
        <v>132.9905</v>
      </c>
      <c r="O35" s="9">
        <f t="shared" si="3"/>
        <v>66.495249999999999</v>
      </c>
      <c r="P35" s="10">
        <f t="shared" si="4"/>
        <v>0.3301710342068413</v>
      </c>
      <c r="Q35" s="10">
        <f t="shared" si="5"/>
        <v>0.10825416666666664</v>
      </c>
    </row>
    <row r="36" spans="1:17" hidden="1" x14ac:dyDescent="0.25">
      <c r="A36" s="1">
        <v>85401</v>
      </c>
      <c r="B36" s="1">
        <v>1033050</v>
      </c>
      <c r="C36" s="1" t="s">
        <v>174</v>
      </c>
      <c r="D36" s="1" t="s">
        <v>175</v>
      </c>
      <c r="E36" s="1" t="s">
        <v>607</v>
      </c>
      <c r="F36" s="13">
        <v>42.5</v>
      </c>
      <c r="G36" s="13">
        <v>0</v>
      </c>
      <c r="H36" s="13">
        <v>0</v>
      </c>
      <c r="I36" s="15">
        <v>42242</v>
      </c>
      <c r="K36" s="3">
        <v>99.99</v>
      </c>
      <c r="L36" s="16">
        <v>46.99</v>
      </c>
      <c r="N36" s="9">
        <f>K36*0.95</f>
        <v>94.990499999999997</v>
      </c>
      <c r="O36" s="9">
        <f t="shared" si="3"/>
        <v>47.495249999999999</v>
      </c>
      <c r="P36" s="10">
        <f t="shared" si="4"/>
        <v>1.0752287720791585E-2</v>
      </c>
      <c r="Q36" s="10">
        <f t="shared" si="5"/>
        <v>0.11753529411764703</v>
      </c>
    </row>
    <row r="37" spans="1:17" hidden="1" x14ac:dyDescent="0.25">
      <c r="A37" s="1">
        <v>85401</v>
      </c>
      <c r="B37" s="1">
        <v>1033042</v>
      </c>
      <c r="C37" s="1" t="s">
        <v>186</v>
      </c>
      <c r="D37" s="1" t="s">
        <v>187</v>
      </c>
      <c r="E37" s="1" t="s">
        <v>621</v>
      </c>
      <c r="F37" s="13">
        <v>37.5</v>
      </c>
      <c r="G37" s="13">
        <v>0</v>
      </c>
      <c r="H37" s="13">
        <v>0</v>
      </c>
      <c r="I37" s="15">
        <v>42242</v>
      </c>
      <c r="K37" s="3">
        <v>79.989999999999995</v>
      </c>
      <c r="L37" s="16">
        <v>25.99</v>
      </c>
      <c r="N37" s="9">
        <f>K37*0.95</f>
        <v>75.990499999999997</v>
      </c>
      <c r="O37" s="9">
        <f t="shared" si="3"/>
        <v>37.995249999999999</v>
      </c>
      <c r="P37" s="10">
        <f t="shared" si="4"/>
        <v>0.46191804540207776</v>
      </c>
      <c r="Q37" s="10">
        <f t="shared" si="5"/>
        <v>1.320666666666663E-2</v>
      </c>
    </row>
    <row r="38" spans="1:17" hidden="1" x14ac:dyDescent="0.25">
      <c r="A38" s="1">
        <v>85401</v>
      </c>
      <c r="B38" s="1">
        <v>1033034</v>
      </c>
      <c r="C38" s="1" t="s">
        <v>188</v>
      </c>
      <c r="D38" s="1" t="s">
        <v>189</v>
      </c>
      <c r="E38" s="1" t="s">
        <v>622</v>
      </c>
      <c r="F38" s="13">
        <v>32.5</v>
      </c>
      <c r="G38" s="13">
        <v>2</v>
      </c>
      <c r="H38" s="13">
        <v>94.23</v>
      </c>
      <c r="I38" s="15">
        <v>42242</v>
      </c>
      <c r="K38" s="3">
        <v>69.989999999999995</v>
      </c>
      <c r="L38" s="16">
        <v>22.99</v>
      </c>
      <c r="N38" s="9">
        <v>66.989999999999995</v>
      </c>
      <c r="O38" s="9">
        <f t="shared" si="3"/>
        <v>33.494999999999997</v>
      </c>
      <c r="P38" s="10">
        <f t="shared" si="4"/>
        <v>0.4569377990430622</v>
      </c>
      <c r="Q38" s="10">
        <f t="shared" si="5"/>
        <v>3.0615384615384537E-2</v>
      </c>
    </row>
    <row r="39" spans="1:17" hidden="1" x14ac:dyDescent="0.25">
      <c r="A39" s="1">
        <v>85401</v>
      </c>
      <c r="B39" s="1">
        <v>1033026</v>
      </c>
      <c r="C39" s="1" t="s">
        <v>202</v>
      </c>
      <c r="D39" s="1" t="s">
        <v>203</v>
      </c>
      <c r="E39" s="1" t="s">
        <v>611</v>
      </c>
      <c r="F39" s="13">
        <v>27.5</v>
      </c>
      <c r="G39" s="13">
        <v>5</v>
      </c>
      <c r="H39" s="13">
        <v>212.89</v>
      </c>
      <c r="I39" s="15">
        <v>42242</v>
      </c>
      <c r="K39" s="3">
        <v>64.989999999999995</v>
      </c>
      <c r="L39" s="16">
        <v>19.989999999999998</v>
      </c>
      <c r="N39" s="9">
        <v>61.99</v>
      </c>
      <c r="O39" s="9">
        <f t="shared" si="3"/>
        <v>30.995000000000001</v>
      </c>
      <c r="P39" s="10">
        <f t="shared" si="4"/>
        <v>0.55052526263131585</v>
      </c>
      <c r="Q39" s="10">
        <f t="shared" si="5"/>
        <v>0.12709090909090912</v>
      </c>
    </row>
    <row r="40" spans="1:17" hidden="1" x14ac:dyDescent="0.25">
      <c r="A40" s="1">
        <v>85401</v>
      </c>
      <c r="B40" s="1">
        <v>1306871</v>
      </c>
      <c r="C40" s="1">
        <v>2110165</v>
      </c>
      <c r="D40" s="1" t="s">
        <v>208</v>
      </c>
      <c r="E40" s="1" t="s">
        <v>617</v>
      </c>
      <c r="F40" s="12">
        <v>105</v>
      </c>
      <c r="G40" s="13">
        <v>2</v>
      </c>
      <c r="H40" s="13">
        <v>303.14999999999998</v>
      </c>
      <c r="K40" s="3">
        <v>229.99</v>
      </c>
      <c r="L40" s="16">
        <v>94.99</v>
      </c>
      <c r="N40" s="9">
        <v>219.99</v>
      </c>
      <c r="O40" s="9">
        <f t="shared" si="3"/>
        <v>109.995</v>
      </c>
      <c r="P40" s="10">
        <f t="shared" si="4"/>
        <v>0.15796399621012749</v>
      </c>
      <c r="Q40" s="10">
        <f t="shared" si="5"/>
        <v>4.7571428571428612E-2</v>
      </c>
    </row>
    <row r="41" spans="1:17" hidden="1" x14ac:dyDescent="0.25">
      <c r="A41" s="1">
        <v>85401</v>
      </c>
      <c r="B41" s="1">
        <v>1306863</v>
      </c>
      <c r="C41" s="1" t="s">
        <v>226</v>
      </c>
      <c r="D41" s="1" t="s">
        <v>227</v>
      </c>
      <c r="E41" s="1" t="s">
        <v>620</v>
      </c>
      <c r="F41" s="12">
        <v>82.5</v>
      </c>
      <c r="G41" s="13">
        <v>3</v>
      </c>
      <c r="H41" s="13">
        <v>349.72</v>
      </c>
      <c r="K41" s="3">
        <v>169.99</v>
      </c>
      <c r="L41" s="3">
        <v>74.989999999999995</v>
      </c>
      <c r="N41" s="9">
        <v>164.99</v>
      </c>
      <c r="O41" s="9">
        <f t="shared" si="3"/>
        <v>82.495000000000005</v>
      </c>
      <c r="P41" s="10">
        <f t="shared" si="4"/>
        <v>0.10008001066808922</v>
      </c>
      <c r="Q41" s="10">
        <f t="shared" si="5"/>
        <v>-6.0606060606005487E-5</v>
      </c>
    </row>
    <row r="42" spans="1:17" hidden="1" x14ac:dyDescent="0.25">
      <c r="A42" s="1">
        <v>85401</v>
      </c>
      <c r="B42" s="1">
        <v>1306855</v>
      </c>
      <c r="C42" s="1" t="s">
        <v>230</v>
      </c>
      <c r="D42" s="1" t="s">
        <v>231</v>
      </c>
      <c r="E42" s="1" t="s">
        <v>607</v>
      </c>
      <c r="F42" s="12">
        <v>70</v>
      </c>
      <c r="G42" s="13">
        <v>17</v>
      </c>
      <c r="H42" s="14">
        <v>1731.32</v>
      </c>
      <c r="K42" s="3">
        <v>149.99</v>
      </c>
      <c r="L42" s="16">
        <v>67.989999999999995</v>
      </c>
      <c r="N42" s="9">
        <v>144.99</v>
      </c>
      <c r="O42" s="9">
        <f t="shared" si="3"/>
        <v>72.495000000000005</v>
      </c>
      <c r="P42" s="10">
        <f t="shared" si="4"/>
        <v>6.6259744080011909E-2</v>
      </c>
      <c r="Q42" s="10">
        <f t="shared" si="5"/>
        <v>3.5642857142857205E-2</v>
      </c>
    </row>
    <row r="43" spans="1:17" hidden="1" x14ac:dyDescent="0.25">
      <c r="A43" s="1">
        <v>85601</v>
      </c>
      <c r="B43" s="1">
        <v>1397478</v>
      </c>
      <c r="C43" s="1" t="s">
        <v>98</v>
      </c>
      <c r="D43" s="1" t="s">
        <v>99</v>
      </c>
      <c r="E43" s="1" t="s">
        <v>607</v>
      </c>
      <c r="F43" s="12">
        <v>22.5</v>
      </c>
      <c r="G43" s="13">
        <v>6</v>
      </c>
      <c r="H43" s="13">
        <v>234.94</v>
      </c>
      <c r="K43" s="3">
        <v>69.989999999999995</v>
      </c>
      <c r="L43" s="3">
        <v>17.989999999999998</v>
      </c>
      <c r="N43" s="9">
        <v>66.989999999999995</v>
      </c>
      <c r="O43" s="9">
        <f t="shared" si="3"/>
        <v>33.494999999999997</v>
      </c>
      <c r="P43" s="10">
        <f t="shared" si="4"/>
        <v>0.86186770428015569</v>
      </c>
      <c r="Q43" s="10">
        <f t="shared" si="5"/>
        <v>0.48866666666666653</v>
      </c>
    </row>
    <row r="44" spans="1:17" hidden="1" x14ac:dyDescent="0.25">
      <c r="A44" s="1">
        <v>85601</v>
      </c>
      <c r="B44" s="1">
        <v>1397486</v>
      </c>
      <c r="C44" s="1" t="s">
        <v>112</v>
      </c>
      <c r="D44" s="1" t="s">
        <v>113</v>
      </c>
      <c r="E44" s="1" t="s">
        <v>620</v>
      </c>
      <c r="F44" s="12">
        <v>26.5</v>
      </c>
      <c r="G44" s="13">
        <v>0</v>
      </c>
      <c r="H44" s="13">
        <v>0</v>
      </c>
      <c r="K44" s="3">
        <v>119.99</v>
      </c>
      <c r="L44" s="16">
        <v>19.989999999999998</v>
      </c>
      <c r="N44" s="9">
        <v>114.99</v>
      </c>
      <c r="O44" s="9">
        <f t="shared" si="3"/>
        <v>57.494999999999997</v>
      </c>
      <c r="P44" s="10">
        <f t="shared" si="4"/>
        <v>1.8761880940470235</v>
      </c>
      <c r="Q44" s="10">
        <f t="shared" si="5"/>
        <v>1.169622641509434</v>
      </c>
    </row>
    <row r="45" spans="1:17" hidden="1" x14ac:dyDescent="0.25">
      <c r="A45" s="1">
        <v>85601</v>
      </c>
      <c r="B45" s="1">
        <v>1397508</v>
      </c>
      <c r="C45" s="1" t="s">
        <v>122</v>
      </c>
      <c r="D45" s="1" t="s">
        <v>123</v>
      </c>
      <c r="E45" s="1" t="s">
        <v>607</v>
      </c>
      <c r="F45" s="12">
        <v>25</v>
      </c>
      <c r="G45" s="13">
        <v>18</v>
      </c>
      <c r="H45" s="13">
        <v>737.15</v>
      </c>
      <c r="K45" s="3">
        <v>99.99</v>
      </c>
      <c r="L45" s="16">
        <v>23.99</v>
      </c>
      <c r="N45" s="9">
        <f>K45*0.95</f>
        <v>94.990499999999997</v>
      </c>
      <c r="O45" s="9">
        <f t="shared" si="3"/>
        <v>47.495249999999999</v>
      </c>
      <c r="P45" s="10">
        <f t="shared" si="4"/>
        <v>0.97979366402667789</v>
      </c>
      <c r="Q45" s="10">
        <f t="shared" si="5"/>
        <v>0.89981</v>
      </c>
    </row>
    <row r="46" spans="1:17" hidden="1" x14ac:dyDescent="0.25">
      <c r="A46" s="1">
        <v>85601</v>
      </c>
      <c r="B46" s="1">
        <v>1397516</v>
      </c>
      <c r="C46" s="1" t="s">
        <v>168</v>
      </c>
      <c r="D46" s="1" t="s">
        <v>169</v>
      </c>
      <c r="E46" s="1" t="s">
        <v>620</v>
      </c>
      <c r="F46" s="12">
        <v>30</v>
      </c>
      <c r="G46" s="13">
        <v>3</v>
      </c>
      <c r="H46" s="13">
        <v>142.16</v>
      </c>
      <c r="K46" s="3">
        <v>129.99</v>
      </c>
      <c r="L46" s="16">
        <v>26.99</v>
      </c>
      <c r="N46" s="9">
        <v>124.99</v>
      </c>
      <c r="O46" s="9">
        <f t="shared" si="3"/>
        <v>62.494999999999997</v>
      </c>
      <c r="P46" s="10">
        <f t="shared" si="4"/>
        <v>1.3154872174879584</v>
      </c>
      <c r="Q46" s="10">
        <f t="shared" si="5"/>
        <v>1.0831666666666666</v>
      </c>
    </row>
    <row r="47" spans="1:17" hidden="1" x14ac:dyDescent="0.25">
      <c r="A47" s="1">
        <v>85504</v>
      </c>
      <c r="B47" s="1">
        <v>1038419</v>
      </c>
      <c r="C47" s="1" t="s">
        <v>138</v>
      </c>
      <c r="D47" s="1" t="s">
        <v>139</v>
      </c>
      <c r="E47" s="1" t="s">
        <v>610</v>
      </c>
      <c r="F47" s="13">
        <v>23</v>
      </c>
      <c r="G47" s="13">
        <v>25</v>
      </c>
      <c r="H47" s="13">
        <v>850.39</v>
      </c>
      <c r="I47" s="15">
        <v>42205</v>
      </c>
      <c r="K47" s="3">
        <v>49.99</v>
      </c>
      <c r="L47" s="3">
        <v>10.99</v>
      </c>
      <c r="N47" s="9">
        <v>46.99</v>
      </c>
      <c r="O47" s="9">
        <f t="shared" si="3"/>
        <v>23.495000000000001</v>
      </c>
      <c r="P47" s="10">
        <f t="shared" si="4"/>
        <v>1.1378525932666061</v>
      </c>
      <c r="Q47" s="10">
        <f t="shared" si="5"/>
        <v>2.1521739130434824E-2</v>
      </c>
    </row>
    <row r="48" spans="1:17" hidden="1" x14ac:dyDescent="0.25">
      <c r="A48" s="1">
        <v>85503</v>
      </c>
      <c r="B48" s="1">
        <v>1037838</v>
      </c>
      <c r="C48" s="1" t="s">
        <v>46</v>
      </c>
      <c r="D48" s="1" t="s">
        <v>47</v>
      </c>
      <c r="E48" s="1" t="s">
        <v>603</v>
      </c>
      <c r="F48" s="12">
        <v>11</v>
      </c>
      <c r="G48" s="13">
        <v>33</v>
      </c>
      <c r="H48" s="13">
        <v>600.29</v>
      </c>
      <c r="K48" s="3">
        <v>26.99</v>
      </c>
      <c r="L48" s="3">
        <v>9.5</v>
      </c>
      <c r="N48" s="9">
        <v>26.99</v>
      </c>
      <c r="O48" s="9">
        <f t="shared" si="3"/>
        <v>13.494999999999999</v>
      </c>
      <c r="P48" s="10">
        <f t="shared" si="4"/>
        <v>0.42052631578947358</v>
      </c>
      <c r="Q48" s="10">
        <f t="shared" si="5"/>
        <v>0.22681818181818175</v>
      </c>
    </row>
    <row r="49" spans="1:17" hidden="1" x14ac:dyDescent="0.25">
      <c r="A49" s="1">
        <v>85300</v>
      </c>
      <c r="B49" s="1">
        <v>1033433</v>
      </c>
      <c r="C49" s="1" t="s">
        <v>126</v>
      </c>
      <c r="D49" s="1" t="s">
        <v>127</v>
      </c>
      <c r="E49" s="1" t="s">
        <v>623</v>
      </c>
      <c r="F49" s="13">
        <v>55</v>
      </c>
      <c r="G49" s="13">
        <v>2</v>
      </c>
      <c r="H49" s="13">
        <v>166.82</v>
      </c>
      <c r="I49" s="15">
        <v>42242</v>
      </c>
      <c r="K49" s="3">
        <v>99.99</v>
      </c>
      <c r="L49" s="16">
        <v>34.99</v>
      </c>
      <c r="N49" s="9">
        <v>99.99</v>
      </c>
      <c r="O49" s="9">
        <f t="shared" si="3"/>
        <v>49.994999999999997</v>
      </c>
      <c r="P49" s="10">
        <f t="shared" si="4"/>
        <v>0.4288368105172905</v>
      </c>
      <c r="Q49" s="10">
        <f t="shared" si="5"/>
        <v>-9.1000000000000053E-2</v>
      </c>
    </row>
    <row r="50" spans="1:17" hidden="1" x14ac:dyDescent="0.25">
      <c r="A50" s="1">
        <v>85300</v>
      </c>
      <c r="B50" s="1">
        <v>1033425</v>
      </c>
      <c r="C50" s="1" t="s">
        <v>142</v>
      </c>
      <c r="D50" s="1" t="s">
        <v>143</v>
      </c>
      <c r="E50" s="1" t="s">
        <v>606</v>
      </c>
      <c r="F50" s="13">
        <v>27.5</v>
      </c>
      <c r="G50" s="13">
        <v>6</v>
      </c>
      <c r="H50" s="13">
        <v>232.1</v>
      </c>
      <c r="I50" s="15">
        <v>42242</v>
      </c>
      <c r="K50" s="3">
        <v>54.99</v>
      </c>
      <c r="L50" s="16">
        <v>16.989999999999998</v>
      </c>
      <c r="N50" s="9">
        <v>53.99</v>
      </c>
      <c r="O50" s="9">
        <f t="shared" si="3"/>
        <v>26.995000000000001</v>
      </c>
      <c r="P50" s="10">
        <f t="shared" si="4"/>
        <v>0.58887580929958816</v>
      </c>
      <c r="Q50" s="10">
        <f t="shared" si="5"/>
        <v>-1.8363636363636329E-2</v>
      </c>
    </row>
    <row r="51" spans="1:17" hidden="1" x14ac:dyDescent="0.25">
      <c r="A51" s="1">
        <v>85300</v>
      </c>
      <c r="B51" s="1">
        <v>1033417</v>
      </c>
      <c r="C51" s="1" t="s">
        <v>148</v>
      </c>
      <c r="D51" s="1" t="s">
        <v>149</v>
      </c>
      <c r="E51" s="1" t="s">
        <v>610</v>
      </c>
      <c r="F51" s="13">
        <v>20.5</v>
      </c>
      <c r="G51" s="13">
        <v>28</v>
      </c>
      <c r="H51" s="13">
        <v>849.61</v>
      </c>
      <c r="I51" s="15">
        <v>42242</v>
      </c>
      <c r="K51" s="3">
        <v>49.99</v>
      </c>
      <c r="L51" s="16">
        <v>12.99</v>
      </c>
      <c r="N51" s="9">
        <v>48.99</v>
      </c>
      <c r="O51" s="9">
        <f t="shared" si="3"/>
        <v>24.495000000000001</v>
      </c>
      <c r="P51" s="10">
        <f t="shared" si="4"/>
        <v>0.88568129330254042</v>
      </c>
      <c r="Q51" s="10">
        <f t="shared" si="5"/>
        <v>0.19487804878048787</v>
      </c>
    </row>
    <row r="52" spans="1:17" hidden="1" x14ac:dyDescent="0.25">
      <c r="A52" s="1">
        <v>85401</v>
      </c>
      <c r="B52" s="1">
        <v>1053191</v>
      </c>
      <c r="C52" s="1" t="s">
        <v>240</v>
      </c>
      <c r="D52" s="1" t="s">
        <v>241</v>
      </c>
      <c r="E52" s="1" t="s">
        <v>612</v>
      </c>
      <c r="F52" s="12">
        <v>16.5</v>
      </c>
      <c r="G52" s="13">
        <v>62</v>
      </c>
      <c r="H52" s="14">
        <v>1422.07</v>
      </c>
      <c r="K52" s="3">
        <v>29.99</v>
      </c>
      <c r="L52" s="3">
        <v>8.99</v>
      </c>
      <c r="N52" s="9">
        <v>29.99</v>
      </c>
      <c r="O52" s="9">
        <f t="shared" si="3"/>
        <v>14.994999999999999</v>
      </c>
      <c r="P52" s="10">
        <f t="shared" si="4"/>
        <v>0.66796440489432696</v>
      </c>
      <c r="Q52" s="10">
        <f t="shared" si="5"/>
        <v>-9.1212121212121258E-2</v>
      </c>
    </row>
    <row r="53" spans="1:17" hidden="1" x14ac:dyDescent="0.25">
      <c r="A53" s="1">
        <v>85401</v>
      </c>
      <c r="B53" s="1">
        <v>1434268</v>
      </c>
      <c r="C53" s="1" t="s">
        <v>242</v>
      </c>
      <c r="D53" s="1" t="s">
        <v>243</v>
      </c>
      <c r="E53" s="1" t="s">
        <v>624</v>
      </c>
      <c r="F53" s="12">
        <v>25</v>
      </c>
      <c r="G53" s="13">
        <v>3</v>
      </c>
      <c r="H53" s="13">
        <v>137.66999999999999</v>
      </c>
      <c r="K53" s="3">
        <v>79.989999999999995</v>
      </c>
      <c r="L53" s="16">
        <v>15.99</v>
      </c>
      <c r="N53" s="9">
        <f>K53*0.95</f>
        <v>75.990499999999997</v>
      </c>
      <c r="O53" s="9">
        <f t="shared" si="3"/>
        <v>37.995249999999999</v>
      </c>
      <c r="P53" s="10">
        <f t="shared" si="4"/>
        <v>1.376188242651657</v>
      </c>
      <c r="Q53" s="10">
        <f t="shared" si="5"/>
        <v>0.51980999999999999</v>
      </c>
    </row>
    <row r="54" spans="1:17" hidden="1" x14ac:dyDescent="0.25">
      <c r="A54" s="1">
        <v>85401</v>
      </c>
      <c r="B54" s="1">
        <v>1434250</v>
      </c>
      <c r="C54" s="1" t="s">
        <v>256</v>
      </c>
      <c r="D54" s="1" t="s">
        <v>257</v>
      </c>
      <c r="E54" s="1" t="s">
        <v>625</v>
      </c>
      <c r="F54" s="12">
        <v>17.5</v>
      </c>
      <c r="G54" s="13">
        <v>3</v>
      </c>
      <c r="H54" s="13">
        <v>89.27</v>
      </c>
      <c r="K54" s="3">
        <v>44.99</v>
      </c>
      <c r="L54" s="16">
        <v>13.99</v>
      </c>
      <c r="N54" s="9">
        <v>42.99</v>
      </c>
      <c r="O54" s="9">
        <f t="shared" si="3"/>
        <v>21.495000000000001</v>
      </c>
      <c r="P54" s="10">
        <f t="shared" si="4"/>
        <v>0.53645461043602582</v>
      </c>
      <c r="Q54" s="10">
        <f t="shared" si="5"/>
        <v>0.22828571428571434</v>
      </c>
    </row>
    <row r="55" spans="1:17" hidden="1" x14ac:dyDescent="0.25">
      <c r="A55" s="1">
        <v>85401</v>
      </c>
      <c r="B55" s="1">
        <v>1434241</v>
      </c>
      <c r="C55" s="1" t="s">
        <v>260</v>
      </c>
      <c r="D55" s="1" t="s">
        <v>261</v>
      </c>
      <c r="E55" s="1" t="s">
        <v>626</v>
      </c>
      <c r="F55" s="12">
        <v>15</v>
      </c>
      <c r="G55" s="13">
        <v>4</v>
      </c>
      <c r="H55" s="13">
        <v>107.21</v>
      </c>
      <c r="K55" s="3">
        <v>39.99</v>
      </c>
      <c r="L55" s="16">
        <v>9.99</v>
      </c>
      <c r="N55" s="9">
        <f>K55*0.95</f>
        <v>37.990499999999997</v>
      </c>
      <c r="O55" s="9">
        <f t="shared" si="3"/>
        <v>18.995249999999999</v>
      </c>
      <c r="P55" s="10">
        <f t="shared" si="4"/>
        <v>0.90142642642642623</v>
      </c>
      <c r="Q55" s="10">
        <f t="shared" si="5"/>
        <v>0.26634999999999992</v>
      </c>
    </row>
    <row r="56" spans="1:17" hidden="1" x14ac:dyDescent="0.25">
      <c r="A56" s="1">
        <v>85502</v>
      </c>
      <c r="B56" s="1">
        <v>1036980</v>
      </c>
      <c r="C56" s="1" t="s">
        <v>53</v>
      </c>
      <c r="D56" s="1" t="s">
        <v>54</v>
      </c>
      <c r="E56" s="1" t="s">
        <v>616</v>
      </c>
      <c r="F56" s="12">
        <v>6</v>
      </c>
      <c r="G56" s="13">
        <v>49</v>
      </c>
      <c r="H56" s="13">
        <v>441.34</v>
      </c>
      <c r="K56" s="3">
        <v>12.99</v>
      </c>
      <c r="L56" s="3">
        <v>3.5</v>
      </c>
      <c r="N56" s="9">
        <v>12.99</v>
      </c>
      <c r="O56" s="9">
        <f t="shared" si="3"/>
        <v>6.4950000000000001</v>
      </c>
      <c r="P56" s="10">
        <f t="shared" si="4"/>
        <v>0.85571428571428576</v>
      </c>
      <c r="Q56" s="10">
        <f t="shared" si="5"/>
        <v>8.2500000000000018E-2</v>
      </c>
    </row>
    <row r="57" spans="1:17" hidden="1" x14ac:dyDescent="0.25">
      <c r="A57" s="1">
        <v>85503</v>
      </c>
      <c r="B57" s="1">
        <v>1033140</v>
      </c>
      <c r="C57" s="1" t="s">
        <v>48</v>
      </c>
      <c r="D57" s="1" t="s">
        <v>49</v>
      </c>
      <c r="E57" s="1" t="s">
        <v>615</v>
      </c>
      <c r="F57" s="13">
        <v>11</v>
      </c>
      <c r="G57" s="13">
        <v>52</v>
      </c>
      <c r="H57" s="13">
        <v>876.97</v>
      </c>
      <c r="I57" s="15">
        <v>42205</v>
      </c>
      <c r="K57" s="3">
        <v>29.99</v>
      </c>
      <c r="L57" s="16">
        <v>6.99</v>
      </c>
      <c r="N57" s="9">
        <v>27.99</v>
      </c>
      <c r="O57" s="9">
        <f t="shared" si="3"/>
        <v>13.994999999999999</v>
      </c>
      <c r="P57" s="10">
        <f t="shared" si="4"/>
        <v>1.002145922746781</v>
      </c>
      <c r="Q57" s="10">
        <f t="shared" si="5"/>
        <v>0.27227272727272722</v>
      </c>
    </row>
    <row r="58" spans="1:17" hidden="1" x14ac:dyDescent="0.25">
      <c r="A58" s="1">
        <v>85501</v>
      </c>
      <c r="B58" s="1">
        <v>1372386</v>
      </c>
      <c r="C58" s="1" t="s">
        <v>24</v>
      </c>
      <c r="D58" s="1" t="s">
        <v>25</v>
      </c>
      <c r="E58" s="1" t="s">
        <v>627</v>
      </c>
      <c r="F58" s="12">
        <v>16.5</v>
      </c>
      <c r="G58" s="13">
        <v>4</v>
      </c>
      <c r="H58" s="13">
        <v>96.8</v>
      </c>
      <c r="K58" s="3">
        <v>29.99</v>
      </c>
      <c r="L58" s="16">
        <v>6.99</v>
      </c>
      <c r="N58" s="9">
        <v>24.99</v>
      </c>
      <c r="O58" s="9">
        <f t="shared" si="3"/>
        <v>12.494999999999999</v>
      </c>
      <c r="P58" s="10">
        <f t="shared" si="4"/>
        <v>0.78755364806866934</v>
      </c>
      <c r="Q58" s="10">
        <f t="shared" si="5"/>
        <v>-0.24272727272727276</v>
      </c>
    </row>
    <row r="59" spans="1:17" hidden="1" x14ac:dyDescent="0.25">
      <c r="A59" s="1">
        <v>85501</v>
      </c>
      <c r="B59" s="1">
        <v>1372394</v>
      </c>
      <c r="C59" s="1" t="s">
        <v>78</v>
      </c>
      <c r="D59" s="1" t="s">
        <v>79</v>
      </c>
      <c r="E59" s="1" t="s">
        <v>627</v>
      </c>
      <c r="F59" s="12">
        <v>20</v>
      </c>
      <c r="G59" s="13">
        <v>1</v>
      </c>
      <c r="H59" s="13">
        <v>36</v>
      </c>
      <c r="K59" s="3">
        <v>29.99</v>
      </c>
      <c r="L59" s="16">
        <v>9.99</v>
      </c>
      <c r="N59" s="9">
        <v>29.99</v>
      </c>
      <c r="O59" s="9">
        <f t="shared" si="3"/>
        <v>14.994999999999999</v>
      </c>
      <c r="P59" s="10">
        <f t="shared" si="4"/>
        <v>0.50100100100100087</v>
      </c>
      <c r="Q59" s="10">
        <f t="shared" si="5"/>
        <v>-0.25025000000000003</v>
      </c>
    </row>
    <row r="60" spans="1:17" hidden="1" x14ac:dyDescent="0.25">
      <c r="A60" s="1">
        <v>85600</v>
      </c>
      <c r="B60" s="1">
        <v>1037528</v>
      </c>
      <c r="C60" s="1" t="s">
        <v>114</v>
      </c>
      <c r="D60" s="1" t="s">
        <v>115</v>
      </c>
      <c r="E60" s="1" t="s">
        <v>617</v>
      </c>
      <c r="F60" s="12">
        <v>32.5</v>
      </c>
      <c r="G60" s="13">
        <v>7</v>
      </c>
      <c r="H60" s="13">
        <v>359.96</v>
      </c>
      <c r="K60" s="3">
        <v>69.989999999999995</v>
      </c>
      <c r="L60" s="16">
        <v>22.99</v>
      </c>
      <c r="N60" s="9">
        <v>66.989999999999995</v>
      </c>
      <c r="O60" s="9">
        <f t="shared" si="3"/>
        <v>33.494999999999997</v>
      </c>
      <c r="P60" s="10">
        <f t="shared" si="4"/>
        <v>0.4569377990430622</v>
      </c>
      <c r="Q60" s="10">
        <f t="shared" si="5"/>
        <v>3.0615384615384537E-2</v>
      </c>
    </row>
    <row r="61" spans="1:17" hidden="1" x14ac:dyDescent="0.25">
      <c r="A61" s="1">
        <v>85600</v>
      </c>
      <c r="B61" s="1">
        <v>1037510</v>
      </c>
      <c r="C61" s="1" t="s">
        <v>118</v>
      </c>
      <c r="D61" s="1" t="s">
        <v>119</v>
      </c>
      <c r="E61" s="1" t="s">
        <v>614</v>
      </c>
      <c r="F61" s="12">
        <v>23.5</v>
      </c>
      <c r="G61" s="13">
        <v>13</v>
      </c>
      <c r="H61" s="13">
        <v>487.78</v>
      </c>
      <c r="K61" s="3">
        <v>49.99</v>
      </c>
      <c r="L61" s="3">
        <v>14.99</v>
      </c>
      <c r="N61" s="9">
        <v>47.99</v>
      </c>
      <c r="O61" s="9">
        <f t="shared" si="3"/>
        <v>23.995000000000001</v>
      </c>
      <c r="P61" s="10">
        <f t="shared" si="4"/>
        <v>0.6007338225483656</v>
      </c>
      <c r="Q61" s="10">
        <f t="shared" si="5"/>
        <v>2.1063829787234086E-2</v>
      </c>
    </row>
    <row r="62" spans="1:17" hidden="1" x14ac:dyDescent="0.25">
      <c r="A62" s="1">
        <v>85600</v>
      </c>
      <c r="B62" s="1">
        <v>1037501</v>
      </c>
      <c r="C62" s="1" t="s">
        <v>124</v>
      </c>
      <c r="D62" s="1" t="s">
        <v>125</v>
      </c>
      <c r="E62" s="1" t="s">
        <v>615</v>
      </c>
      <c r="F62" s="13">
        <v>16.5</v>
      </c>
      <c r="G62" s="13">
        <v>27</v>
      </c>
      <c r="H62" s="13">
        <v>663.78</v>
      </c>
      <c r="I62" s="15">
        <v>42205</v>
      </c>
      <c r="K62" s="3">
        <v>39.99</v>
      </c>
      <c r="L62" s="16">
        <v>11.99</v>
      </c>
      <c r="N62" s="9">
        <v>37.99</v>
      </c>
      <c r="O62" s="9">
        <f t="shared" si="3"/>
        <v>18.995000000000001</v>
      </c>
      <c r="P62" s="10">
        <f t="shared" si="4"/>
        <v>0.58423686405337782</v>
      </c>
      <c r="Q62" s="10">
        <f t="shared" si="5"/>
        <v>0.15121212121212127</v>
      </c>
    </row>
    <row r="63" spans="1:17" hidden="1" x14ac:dyDescent="0.25">
      <c r="A63" s="1">
        <v>85200</v>
      </c>
      <c r="B63" s="1">
        <v>1033190</v>
      </c>
      <c r="C63" s="1" t="s">
        <v>37</v>
      </c>
      <c r="D63" s="1" t="s">
        <v>38</v>
      </c>
      <c r="E63" s="1" t="s">
        <v>603</v>
      </c>
      <c r="F63" s="13">
        <v>2.25</v>
      </c>
      <c r="G63" s="13">
        <v>86</v>
      </c>
      <c r="H63" s="13">
        <v>279.81</v>
      </c>
      <c r="I63" s="15">
        <v>42205</v>
      </c>
      <c r="K63" s="3">
        <v>4.99</v>
      </c>
      <c r="L63" s="3">
        <v>1.39</v>
      </c>
      <c r="N63" s="9">
        <v>4.79</v>
      </c>
      <c r="O63" s="9">
        <f t="shared" si="3"/>
        <v>2.395</v>
      </c>
      <c r="P63" s="10">
        <f t="shared" si="4"/>
        <v>0.72302158273381312</v>
      </c>
      <c r="Q63" s="10">
        <f t="shared" si="5"/>
        <v>6.4444444444444457E-2</v>
      </c>
    </row>
    <row r="64" spans="1:17" hidden="1" x14ac:dyDescent="0.25">
      <c r="A64" s="1">
        <v>85504</v>
      </c>
      <c r="B64" s="1">
        <v>1307517</v>
      </c>
      <c r="C64" s="1" t="s">
        <v>150</v>
      </c>
      <c r="D64" s="1" t="s">
        <v>151</v>
      </c>
      <c r="E64" s="1" t="s">
        <v>623</v>
      </c>
      <c r="F64" s="12">
        <v>23.5</v>
      </c>
      <c r="G64" s="13">
        <v>0</v>
      </c>
      <c r="H64" s="13">
        <v>0</v>
      </c>
      <c r="K64" s="3">
        <v>59.99</v>
      </c>
      <c r="L64" s="16">
        <v>16.989999999999998</v>
      </c>
      <c r="N64" s="9">
        <f>K64*0.95</f>
        <v>56.990499999999997</v>
      </c>
      <c r="O64" s="9">
        <f t="shared" si="3"/>
        <v>28.495249999999999</v>
      </c>
      <c r="P64" s="10">
        <f t="shared" si="4"/>
        <v>0.67717775161859928</v>
      </c>
      <c r="Q64" s="10">
        <f t="shared" si="5"/>
        <v>0.21256382978723398</v>
      </c>
    </row>
    <row r="65" spans="1:17" hidden="1" x14ac:dyDescent="0.25">
      <c r="A65" s="1">
        <v>85504</v>
      </c>
      <c r="B65" s="1">
        <v>1307509</v>
      </c>
      <c r="C65" s="1" t="s">
        <v>160</v>
      </c>
      <c r="D65" s="1" t="s">
        <v>161</v>
      </c>
      <c r="E65" s="1" t="s">
        <v>606</v>
      </c>
      <c r="F65" s="12">
        <v>18.989999999999998</v>
      </c>
      <c r="G65" s="13">
        <v>2</v>
      </c>
      <c r="H65" s="13">
        <v>62.66</v>
      </c>
      <c r="K65" s="3">
        <v>39.99</v>
      </c>
      <c r="L65" s="16">
        <v>13.99</v>
      </c>
      <c r="N65" s="9">
        <f>K65*0.95</f>
        <v>37.990499999999997</v>
      </c>
      <c r="O65" s="9">
        <f t="shared" si="3"/>
        <v>18.995249999999999</v>
      </c>
      <c r="P65" s="10">
        <f t="shared" si="4"/>
        <v>0.35777340957827009</v>
      </c>
      <c r="Q65" s="10">
        <f t="shared" si="5"/>
        <v>2.7646129541865187E-4</v>
      </c>
    </row>
    <row r="66" spans="1:17" hidden="1" x14ac:dyDescent="0.25">
      <c r="A66" s="1">
        <v>85504</v>
      </c>
      <c r="B66" s="1">
        <v>1307495</v>
      </c>
      <c r="C66" s="1" t="s">
        <v>190</v>
      </c>
      <c r="D66" s="1" t="s">
        <v>191</v>
      </c>
      <c r="E66" s="1" t="s">
        <v>615</v>
      </c>
      <c r="F66" s="12">
        <v>16.5</v>
      </c>
      <c r="G66" s="13">
        <v>7</v>
      </c>
      <c r="H66" s="13">
        <v>137.32</v>
      </c>
      <c r="K66" s="3">
        <v>36.99</v>
      </c>
      <c r="L66" s="3">
        <v>11.99</v>
      </c>
      <c r="N66" s="9">
        <v>35.99</v>
      </c>
      <c r="O66" s="9">
        <f t="shared" ref="O66:O97" si="6">N66*0.5</f>
        <v>17.995000000000001</v>
      </c>
      <c r="P66" s="10">
        <f t="shared" ref="P66:P97" si="7">(O66-L66)/L66</f>
        <v>0.50083402835696422</v>
      </c>
      <c r="Q66" s="10">
        <f t="shared" ref="Q66:Q97" si="8">(O66-F66)/F66</f>
        <v>9.0606060606060662E-2</v>
      </c>
    </row>
    <row r="67" spans="1:17" hidden="1" x14ac:dyDescent="0.25">
      <c r="A67" s="1">
        <v>85600</v>
      </c>
      <c r="B67" s="1">
        <v>1037455</v>
      </c>
      <c r="C67" s="1" t="s">
        <v>130</v>
      </c>
      <c r="D67" s="1" t="s">
        <v>131</v>
      </c>
      <c r="E67" s="1" t="s">
        <v>598</v>
      </c>
      <c r="F67" s="12">
        <v>14</v>
      </c>
      <c r="G67" s="13">
        <v>0</v>
      </c>
      <c r="H67" s="13">
        <v>0</v>
      </c>
      <c r="K67" s="3">
        <v>29.99</v>
      </c>
      <c r="L67" s="16">
        <v>13.99</v>
      </c>
      <c r="N67" s="9">
        <v>29.99</v>
      </c>
      <c r="O67" s="9">
        <f t="shared" si="6"/>
        <v>14.994999999999999</v>
      </c>
      <c r="P67" s="10">
        <f t="shared" si="7"/>
        <v>7.1837026447462399E-2</v>
      </c>
      <c r="Q67" s="10">
        <f t="shared" si="8"/>
        <v>7.1071428571428522E-2</v>
      </c>
    </row>
    <row r="68" spans="1:17" hidden="1" x14ac:dyDescent="0.25">
      <c r="A68" s="1">
        <v>85600</v>
      </c>
      <c r="B68" s="1">
        <v>1037447</v>
      </c>
      <c r="C68" s="1" t="s">
        <v>132</v>
      </c>
      <c r="D68" s="1" t="s">
        <v>133</v>
      </c>
      <c r="E68" s="1" t="s">
        <v>612</v>
      </c>
      <c r="F68" s="12">
        <v>11.75</v>
      </c>
      <c r="G68" s="13">
        <v>37</v>
      </c>
      <c r="H68" s="13">
        <v>608.59</v>
      </c>
      <c r="K68" s="3">
        <v>24.99</v>
      </c>
      <c r="L68" s="3">
        <v>8.99</v>
      </c>
      <c r="N68" s="9">
        <v>23.99</v>
      </c>
      <c r="O68" s="9">
        <f t="shared" si="6"/>
        <v>11.994999999999999</v>
      </c>
      <c r="P68" s="10">
        <f t="shared" si="7"/>
        <v>0.33426028921023349</v>
      </c>
      <c r="Q68" s="10">
        <f t="shared" si="8"/>
        <v>2.0851063829787169E-2</v>
      </c>
    </row>
    <row r="69" spans="1:17" hidden="1" x14ac:dyDescent="0.25">
      <c r="A69" s="1">
        <v>85600</v>
      </c>
      <c r="B69" s="1">
        <v>1037439</v>
      </c>
      <c r="C69" s="1" t="s">
        <v>140</v>
      </c>
      <c r="D69" s="1" t="s">
        <v>141</v>
      </c>
      <c r="E69" s="1" t="s">
        <v>628</v>
      </c>
      <c r="F69" s="12">
        <v>9.5</v>
      </c>
      <c r="G69" s="13">
        <v>33</v>
      </c>
      <c r="H69" s="13">
        <v>459.98</v>
      </c>
      <c r="K69" s="3">
        <v>19.989999999999998</v>
      </c>
      <c r="L69" s="16">
        <v>7.99</v>
      </c>
      <c r="N69" s="9">
        <v>18.989999999999998</v>
      </c>
      <c r="O69" s="9">
        <f t="shared" si="6"/>
        <v>9.4949999999999992</v>
      </c>
      <c r="P69" s="10">
        <f t="shared" si="7"/>
        <v>0.18836045056320389</v>
      </c>
      <c r="Q69" s="10">
        <f t="shared" si="8"/>
        <v>-5.2631578947376649E-4</v>
      </c>
    </row>
    <row r="70" spans="1:17" hidden="1" x14ac:dyDescent="0.25">
      <c r="A70" s="1">
        <v>85401</v>
      </c>
      <c r="B70" s="1">
        <v>1033018</v>
      </c>
      <c r="C70" s="1" t="s">
        <v>262</v>
      </c>
      <c r="D70" s="1" t="s">
        <v>263</v>
      </c>
      <c r="E70" s="1" t="s">
        <v>629</v>
      </c>
      <c r="F70" s="13">
        <v>120</v>
      </c>
      <c r="G70" s="13">
        <v>3</v>
      </c>
      <c r="H70" s="13">
        <v>589.04</v>
      </c>
      <c r="I70" s="15">
        <v>42242</v>
      </c>
      <c r="K70" s="3">
        <v>249.99</v>
      </c>
      <c r="L70" s="16">
        <v>74.989999999999995</v>
      </c>
      <c r="N70" s="9">
        <v>244.99</v>
      </c>
      <c r="O70" s="9">
        <f t="shared" si="6"/>
        <v>122.495</v>
      </c>
      <c r="P70" s="10">
        <f t="shared" si="7"/>
        <v>0.63348446459527952</v>
      </c>
      <c r="Q70" s="10">
        <f t="shared" si="8"/>
        <v>2.0791666666666705E-2</v>
      </c>
    </row>
    <row r="71" spans="1:17" hidden="1" x14ac:dyDescent="0.25">
      <c r="A71" s="1">
        <v>85401</v>
      </c>
      <c r="B71" s="1">
        <v>1033000</v>
      </c>
      <c r="C71" s="1" t="s">
        <v>264</v>
      </c>
      <c r="D71" s="1" t="s">
        <v>265</v>
      </c>
      <c r="E71" s="1" t="s">
        <v>630</v>
      </c>
      <c r="F71" s="13">
        <v>92.5</v>
      </c>
      <c r="G71" s="13">
        <v>7</v>
      </c>
      <c r="H71" s="13">
        <v>929.1</v>
      </c>
      <c r="I71" s="15">
        <v>42242</v>
      </c>
      <c r="K71" s="3">
        <v>179.99</v>
      </c>
      <c r="L71" s="16">
        <v>59.99</v>
      </c>
      <c r="N71" s="9">
        <v>179.99</v>
      </c>
      <c r="O71" s="9">
        <f t="shared" si="6"/>
        <v>89.995000000000005</v>
      </c>
      <c r="P71" s="10">
        <f t="shared" si="7"/>
        <v>0.50016669444907491</v>
      </c>
      <c r="Q71" s="10">
        <f t="shared" si="8"/>
        <v>-2.7081081081081031E-2</v>
      </c>
    </row>
    <row r="72" spans="1:17" hidden="1" x14ac:dyDescent="0.25">
      <c r="A72" s="1">
        <v>85401</v>
      </c>
      <c r="B72" s="1">
        <v>1032992</v>
      </c>
      <c r="C72" s="1" t="s">
        <v>266</v>
      </c>
      <c r="D72" s="1" t="s">
        <v>267</v>
      </c>
      <c r="E72" s="1" t="s">
        <v>631</v>
      </c>
      <c r="F72" s="13">
        <v>82.5</v>
      </c>
      <c r="G72" s="13">
        <v>3</v>
      </c>
      <c r="H72" s="13">
        <v>361.48</v>
      </c>
      <c r="I72" s="15">
        <v>42242</v>
      </c>
      <c r="K72" s="3">
        <v>149.99</v>
      </c>
      <c r="L72" s="16">
        <v>44.95</v>
      </c>
      <c r="N72" s="9">
        <v>149.99</v>
      </c>
      <c r="O72" s="9">
        <f t="shared" si="6"/>
        <v>74.995000000000005</v>
      </c>
      <c r="P72" s="10">
        <f t="shared" si="7"/>
        <v>0.66840934371523919</v>
      </c>
      <c r="Q72" s="10">
        <f t="shared" si="8"/>
        <v>-9.0969696969696909E-2</v>
      </c>
    </row>
    <row r="73" spans="1:17" hidden="1" x14ac:dyDescent="0.25">
      <c r="A73" s="1">
        <v>85401</v>
      </c>
      <c r="B73" s="1">
        <v>1032984</v>
      </c>
      <c r="C73" s="1" t="s">
        <v>272</v>
      </c>
      <c r="D73" s="1" t="s">
        <v>273</v>
      </c>
      <c r="E73" s="1" t="s">
        <v>632</v>
      </c>
      <c r="F73" s="13">
        <v>65</v>
      </c>
      <c r="G73" s="13">
        <v>10</v>
      </c>
      <c r="H73" s="13">
        <v>857.49</v>
      </c>
      <c r="I73" s="15">
        <v>42242</v>
      </c>
      <c r="K73" s="3">
        <v>99.99</v>
      </c>
      <c r="L73" s="16">
        <v>29.99</v>
      </c>
      <c r="N73" s="9">
        <v>99.99</v>
      </c>
      <c r="O73" s="9">
        <f t="shared" si="6"/>
        <v>49.994999999999997</v>
      </c>
      <c r="P73" s="10">
        <f t="shared" si="7"/>
        <v>0.66705568522840952</v>
      </c>
      <c r="Q73" s="10">
        <f t="shared" si="8"/>
        <v>-0.2308461538461539</v>
      </c>
    </row>
    <row r="74" spans="1:17" hidden="1" x14ac:dyDescent="0.25">
      <c r="A74" s="1">
        <v>85401</v>
      </c>
      <c r="B74" s="1">
        <v>1032976</v>
      </c>
      <c r="C74" s="1" t="s">
        <v>284</v>
      </c>
      <c r="D74" s="1" t="s">
        <v>285</v>
      </c>
      <c r="E74" s="1" t="s">
        <v>633</v>
      </c>
      <c r="F74" s="13">
        <v>56</v>
      </c>
      <c r="G74" s="13">
        <v>9</v>
      </c>
      <c r="H74" s="13">
        <v>700.91</v>
      </c>
      <c r="I74" s="15">
        <v>42242</v>
      </c>
      <c r="K74" s="3">
        <v>89.99</v>
      </c>
      <c r="L74" s="16">
        <v>26.99</v>
      </c>
      <c r="N74" s="9">
        <v>89.99</v>
      </c>
      <c r="O74" s="9">
        <f t="shared" si="6"/>
        <v>44.994999999999997</v>
      </c>
      <c r="P74" s="10">
        <f t="shared" si="7"/>
        <v>0.66709892552797334</v>
      </c>
      <c r="Q74" s="10">
        <f t="shared" si="8"/>
        <v>-0.19651785714285719</v>
      </c>
    </row>
    <row r="75" spans="1:17" hidden="1" x14ac:dyDescent="0.25">
      <c r="A75" s="1">
        <v>85401</v>
      </c>
      <c r="B75" s="1">
        <v>1032968</v>
      </c>
      <c r="C75" s="1" t="s">
        <v>286</v>
      </c>
      <c r="D75" s="1" t="s">
        <v>287</v>
      </c>
      <c r="E75" s="1" t="s">
        <v>611</v>
      </c>
      <c r="F75" s="13">
        <v>42</v>
      </c>
      <c r="G75" s="13">
        <v>15</v>
      </c>
      <c r="H75" s="13">
        <v>882.31</v>
      </c>
      <c r="I75" s="15">
        <v>42242</v>
      </c>
      <c r="K75" s="3">
        <v>79.989999999999995</v>
      </c>
      <c r="L75" s="16">
        <v>23.99</v>
      </c>
      <c r="N75" s="9">
        <v>79.989999999999995</v>
      </c>
      <c r="O75" s="9">
        <f t="shared" si="6"/>
        <v>39.994999999999997</v>
      </c>
      <c r="P75" s="10">
        <f t="shared" si="7"/>
        <v>0.66715298040850357</v>
      </c>
      <c r="Q75" s="10">
        <f t="shared" si="8"/>
        <v>-4.7738095238095302E-2</v>
      </c>
    </row>
    <row r="76" spans="1:17" hidden="1" x14ac:dyDescent="0.25">
      <c r="A76" s="1">
        <v>85504</v>
      </c>
      <c r="B76" s="1">
        <v>1373013</v>
      </c>
      <c r="C76" s="1" t="s">
        <v>200</v>
      </c>
      <c r="D76" s="1" t="s">
        <v>201</v>
      </c>
      <c r="E76" s="1" t="s">
        <v>599</v>
      </c>
      <c r="F76" s="12">
        <v>29</v>
      </c>
      <c r="G76" s="13">
        <v>12</v>
      </c>
      <c r="H76" s="13">
        <v>501.97</v>
      </c>
      <c r="K76" s="3">
        <v>59.99</v>
      </c>
      <c r="L76" s="16">
        <v>16.989999999999998</v>
      </c>
      <c r="N76" s="9">
        <v>58.99</v>
      </c>
      <c r="O76" s="9">
        <f t="shared" si="6"/>
        <v>29.495000000000001</v>
      </c>
      <c r="P76" s="10">
        <f t="shared" si="7"/>
        <v>0.73602118893466772</v>
      </c>
      <c r="Q76" s="10">
        <f t="shared" si="8"/>
        <v>1.7068965517241415E-2</v>
      </c>
    </row>
    <row r="77" spans="1:17" hidden="1" x14ac:dyDescent="0.25">
      <c r="A77" s="1">
        <v>85600</v>
      </c>
      <c r="B77" s="1">
        <v>1397028</v>
      </c>
      <c r="C77" s="1" t="s">
        <v>146</v>
      </c>
      <c r="D77" s="1" t="s">
        <v>147</v>
      </c>
      <c r="E77" s="1" t="s">
        <v>607</v>
      </c>
      <c r="F77" s="12">
        <v>18.5</v>
      </c>
      <c r="G77" s="13">
        <v>56</v>
      </c>
      <c r="H77" s="14">
        <v>1537.05</v>
      </c>
      <c r="K77" s="3">
        <v>44.99</v>
      </c>
      <c r="L77" s="3">
        <v>11.99</v>
      </c>
      <c r="N77" s="9">
        <v>42.99</v>
      </c>
      <c r="O77" s="9">
        <f t="shared" si="6"/>
        <v>21.495000000000001</v>
      </c>
      <c r="P77" s="10">
        <f t="shared" si="7"/>
        <v>0.79274395329441205</v>
      </c>
      <c r="Q77" s="10">
        <f t="shared" si="8"/>
        <v>0.16189189189189196</v>
      </c>
    </row>
    <row r="78" spans="1:17" hidden="1" x14ac:dyDescent="0.25">
      <c r="A78" s="1">
        <v>85600</v>
      </c>
      <c r="B78" s="1">
        <v>1397036</v>
      </c>
      <c r="C78" s="1" t="s">
        <v>152</v>
      </c>
      <c r="D78" s="1" t="s">
        <v>153</v>
      </c>
      <c r="E78" s="1" t="s">
        <v>620</v>
      </c>
      <c r="F78" s="12">
        <v>23.5</v>
      </c>
      <c r="G78" s="13">
        <v>12</v>
      </c>
      <c r="H78" s="13">
        <v>453.31</v>
      </c>
      <c r="K78" s="16">
        <v>52.99</v>
      </c>
      <c r="L78" s="3">
        <v>17.989999999999998</v>
      </c>
      <c r="N78" s="9">
        <v>49.99</v>
      </c>
      <c r="O78" s="9">
        <f t="shared" si="6"/>
        <v>24.995000000000001</v>
      </c>
      <c r="P78" s="10">
        <f t="shared" si="7"/>
        <v>0.3893829905503059</v>
      </c>
      <c r="Q78" s="10">
        <f t="shared" si="8"/>
        <v>6.3617021276595784E-2</v>
      </c>
    </row>
    <row r="79" spans="1:17" hidden="1" x14ac:dyDescent="0.25">
      <c r="A79" s="1">
        <v>85600</v>
      </c>
      <c r="B79" s="1">
        <v>1397044</v>
      </c>
      <c r="C79" s="1" t="s">
        <v>156</v>
      </c>
      <c r="D79" s="1" t="s">
        <v>157</v>
      </c>
      <c r="E79" s="1" t="s">
        <v>634</v>
      </c>
      <c r="F79" s="12">
        <v>28.5</v>
      </c>
      <c r="G79" s="13">
        <v>6</v>
      </c>
      <c r="H79" s="13">
        <v>262.02</v>
      </c>
      <c r="K79" s="3">
        <v>59.99</v>
      </c>
      <c r="L79" s="16">
        <v>27.99</v>
      </c>
      <c r="N79" s="9">
        <v>57.99</v>
      </c>
      <c r="O79" s="9">
        <f t="shared" si="6"/>
        <v>28.995000000000001</v>
      </c>
      <c r="P79" s="10">
        <f t="shared" si="7"/>
        <v>3.5905680600214457E-2</v>
      </c>
      <c r="Q79" s="10">
        <f t="shared" si="8"/>
        <v>1.7368421052631613E-2</v>
      </c>
    </row>
    <row r="80" spans="1:17" hidden="1" x14ac:dyDescent="0.25">
      <c r="A80" s="1">
        <v>85504</v>
      </c>
      <c r="B80" s="1">
        <v>1307428</v>
      </c>
      <c r="C80" s="1" t="s">
        <v>216</v>
      </c>
      <c r="D80" s="1" t="s">
        <v>217</v>
      </c>
      <c r="E80" s="1" t="s">
        <v>623</v>
      </c>
      <c r="F80" s="12">
        <v>32.99</v>
      </c>
      <c r="G80" s="13">
        <v>6</v>
      </c>
      <c r="H80" s="13">
        <v>316.14</v>
      </c>
      <c r="K80" s="3">
        <v>99.99</v>
      </c>
      <c r="L80" s="16">
        <v>24.99</v>
      </c>
      <c r="N80" s="9">
        <f>K80*0.95</f>
        <v>94.990499999999997</v>
      </c>
      <c r="O80" s="9">
        <f t="shared" si="6"/>
        <v>47.495249999999999</v>
      </c>
      <c r="P80" s="10">
        <f t="shared" si="7"/>
        <v>0.90057022809123655</v>
      </c>
      <c r="Q80" s="10">
        <f t="shared" si="8"/>
        <v>0.43968626856623205</v>
      </c>
    </row>
    <row r="81" spans="1:17" hidden="1" x14ac:dyDescent="0.25">
      <c r="A81" s="1">
        <v>85504</v>
      </c>
      <c r="B81" s="1">
        <v>1307410</v>
      </c>
      <c r="C81" s="1" t="s">
        <v>290</v>
      </c>
      <c r="D81" s="1" t="s">
        <v>291</v>
      </c>
      <c r="E81" s="1" t="s">
        <v>606</v>
      </c>
      <c r="F81" s="12">
        <v>28.5</v>
      </c>
      <c r="G81" s="13">
        <v>2</v>
      </c>
      <c r="H81" s="13">
        <v>97.06</v>
      </c>
      <c r="K81" s="3">
        <v>79.989999999999995</v>
      </c>
      <c r="L81" s="16">
        <v>19.989999999999998</v>
      </c>
      <c r="N81" s="9">
        <f>K81*0.95</f>
        <v>75.990499999999997</v>
      </c>
      <c r="O81" s="9">
        <f t="shared" si="6"/>
        <v>37.995249999999999</v>
      </c>
      <c r="P81" s="10">
        <f t="shared" si="7"/>
        <v>0.90071285642821419</v>
      </c>
      <c r="Q81" s="10">
        <f t="shared" si="8"/>
        <v>0.33316666666666661</v>
      </c>
    </row>
    <row r="82" spans="1:17" hidden="1" x14ac:dyDescent="0.25">
      <c r="A82" s="1">
        <v>85504</v>
      </c>
      <c r="B82" s="1">
        <v>1307401</v>
      </c>
      <c r="C82" s="1" t="s">
        <v>292</v>
      </c>
      <c r="D82" s="1" t="s">
        <v>293</v>
      </c>
      <c r="E82" s="1" t="s">
        <v>610</v>
      </c>
      <c r="F82" s="13">
        <v>23.5</v>
      </c>
      <c r="G82" s="13">
        <v>0</v>
      </c>
      <c r="H82" s="13">
        <v>0</v>
      </c>
      <c r="I82" s="15">
        <v>42205</v>
      </c>
      <c r="K82" s="3">
        <v>69.989999999999995</v>
      </c>
      <c r="L82" s="16">
        <v>17.489999999999998</v>
      </c>
      <c r="N82" s="9">
        <f>K82*0.95</f>
        <v>66.490499999999997</v>
      </c>
      <c r="O82" s="9">
        <f t="shared" si="6"/>
        <v>33.245249999999999</v>
      </c>
      <c r="P82" s="10">
        <f t="shared" si="7"/>
        <v>0.9008147512864495</v>
      </c>
      <c r="Q82" s="10">
        <f t="shared" si="8"/>
        <v>0.41469148936170208</v>
      </c>
    </row>
    <row r="83" spans="1:17" hidden="1" x14ac:dyDescent="0.25">
      <c r="A83" s="1">
        <v>85503</v>
      </c>
      <c r="B83" s="1">
        <v>1372734</v>
      </c>
      <c r="C83" s="1" t="s">
        <v>55</v>
      </c>
      <c r="D83" s="1" t="s">
        <v>56</v>
      </c>
      <c r="E83" s="1" t="s">
        <v>612</v>
      </c>
      <c r="F83" s="12">
        <v>8</v>
      </c>
      <c r="G83" s="13">
        <v>104</v>
      </c>
      <c r="H83" s="14">
        <v>1214.5999999999999</v>
      </c>
      <c r="K83" s="3">
        <v>20.99</v>
      </c>
      <c r="L83" s="3">
        <v>5.99</v>
      </c>
      <c r="N83" s="9">
        <v>19.989999999999998</v>
      </c>
      <c r="O83" s="9">
        <f t="shared" si="6"/>
        <v>9.9949999999999992</v>
      </c>
      <c r="P83" s="10">
        <f t="shared" si="7"/>
        <v>0.66861435726210328</v>
      </c>
      <c r="Q83" s="10">
        <f t="shared" si="8"/>
        <v>0.2493749999999999</v>
      </c>
    </row>
    <row r="84" spans="1:17" hidden="1" x14ac:dyDescent="0.25">
      <c r="A84" s="1">
        <v>85503</v>
      </c>
      <c r="B84" s="1">
        <v>1372742</v>
      </c>
      <c r="C84" s="1" t="s">
        <v>63</v>
      </c>
      <c r="D84" s="1" t="s">
        <v>64</v>
      </c>
      <c r="E84" s="1" t="s">
        <v>598</v>
      </c>
      <c r="F84" s="12">
        <v>11.4</v>
      </c>
      <c r="G84" s="13">
        <v>53</v>
      </c>
      <c r="H84" s="13">
        <v>972.64</v>
      </c>
      <c r="K84" s="3">
        <v>25.99</v>
      </c>
      <c r="L84" s="3">
        <v>7.99</v>
      </c>
      <c r="N84" s="9">
        <v>24.99</v>
      </c>
      <c r="O84" s="9">
        <f t="shared" si="6"/>
        <v>12.494999999999999</v>
      </c>
      <c r="P84" s="10">
        <f t="shared" si="7"/>
        <v>0.56382978723404242</v>
      </c>
      <c r="Q84" s="10">
        <f t="shared" si="8"/>
        <v>9.6052631578947265E-2</v>
      </c>
    </row>
    <row r="85" spans="1:17" hidden="1" x14ac:dyDescent="0.25">
      <c r="A85" s="1">
        <v>85503</v>
      </c>
      <c r="B85" s="1">
        <v>1372726</v>
      </c>
      <c r="C85" s="1" t="s">
        <v>65</v>
      </c>
      <c r="D85" s="1" t="s">
        <v>66</v>
      </c>
      <c r="E85" s="1" t="s">
        <v>603</v>
      </c>
      <c r="F85" s="13">
        <v>7.5</v>
      </c>
      <c r="G85" s="13">
        <v>86</v>
      </c>
      <c r="H85" s="14">
        <v>1011.95</v>
      </c>
      <c r="I85" s="15">
        <v>42205</v>
      </c>
      <c r="K85" s="3">
        <v>17.989999999999998</v>
      </c>
      <c r="L85" s="3">
        <v>4.99</v>
      </c>
      <c r="N85" s="9">
        <v>16.989999999999998</v>
      </c>
      <c r="O85" s="9">
        <f t="shared" si="6"/>
        <v>8.4949999999999992</v>
      </c>
      <c r="P85" s="10">
        <f t="shared" si="7"/>
        <v>0.70240480961923824</v>
      </c>
      <c r="Q85" s="10">
        <f t="shared" si="8"/>
        <v>0.13266666666666657</v>
      </c>
    </row>
    <row r="86" spans="1:17" hidden="1" x14ac:dyDescent="0.25">
      <c r="A86" s="1">
        <v>85601</v>
      </c>
      <c r="B86" s="1">
        <v>1053205</v>
      </c>
      <c r="C86" s="1" t="s">
        <v>172</v>
      </c>
      <c r="D86" s="1" t="s">
        <v>173</v>
      </c>
      <c r="E86" s="1" t="s">
        <v>610</v>
      </c>
      <c r="F86" s="12">
        <v>19</v>
      </c>
      <c r="G86" s="13">
        <v>32</v>
      </c>
      <c r="H86" s="13">
        <v>867.99</v>
      </c>
      <c r="K86" s="3">
        <v>39.99</v>
      </c>
      <c r="L86" s="3">
        <v>11.99</v>
      </c>
      <c r="N86" s="9">
        <f>K86*0.95</f>
        <v>37.990499999999997</v>
      </c>
      <c r="O86" s="9">
        <f t="shared" si="6"/>
        <v>18.995249999999999</v>
      </c>
      <c r="P86" s="10">
        <f t="shared" si="7"/>
        <v>0.58425771476230182</v>
      </c>
      <c r="Q86" s="10">
        <f t="shared" si="8"/>
        <v>-2.5000000000007178E-4</v>
      </c>
    </row>
    <row r="87" spans="1:17" hidden="1" x14ac:dyDescent="0.25">
      <c r="A87" s="1">
        <v>85501</v>
      </c>
      <c r="B87" s="1">
        <v>1372408</v>
      </c>
      <c r="C87" s="1" t="s">
        <v>166</v>
      </c>
      <c r="D87" s="1" t="s">
        <v>167</v>
      </c>
      <c r="E87" s="1" t="s">
        <v>603</v>
      </c>
      <c r="F87" s="12">
        <v>14.25</v>
      </c>
      <c r="G87" s="13">
        <v>32</v>
      </c>
      <c r="H87" s="13">
        <v>730.44</v>
      </c>
      <c r="K87" s="3">
        <v>31.99</v>
      </c>
      <c r="L87" s="16">
        <v>7.99</v>
      </c>
      <c r="N87" s="9">
        <v>29.99</v>
      </c>
      <c r="O87" s="9">
        <f t="shared" si="6"/>
        <v>14.994999999999999</v>
      </c>
      <c r="P87" s="10">
        <f t="shared" si="7"/>
        <v>0.87672090112640788</v>
      </c>
      <c r="Q87" s="10">
        <f t="shared" si="8"/>
        <v>5.2280701754385907E-2</v>
      </c>
    </row>
    <row r="88" spans="1:17" hidden="1" x14ac:dyDescent="0.25">
      <c r="A88" s="1">
        <v>85501</v>
      </c>
      <c r="B88" s="1">
        <v>1372416</v>
      </c>
      <c r="C88" s="1" t="s">
        <v>184</v>
      </c>
      <c r="D88" s="1" t="s">
        <v>185</v>
      </c>
      <c r="E88" s="1" t="s">
        <v>612</v>
      </c>
      <c r="F88" s="12">
        <v>16.5</v>
      </c>
      <c r="G88" s="13">
        <v>3</v>
      </c>
      <c r="H88" s="13">
        <v>70.510000000000005</v>
      </c>
      <c r="K88" s="3">
        <v>34.99</v>
      </c>
      <c r="L88" s="16">
        <v>8.99</v>
      </c>
      <c r="N88" s="9">
        <v>32.99</v>
      </c>
      <c r="O88" s="9">
        <f t="shared" si="6"/>
        <v>16.495000000000001</v>
      </c>
      <c r="P88" s="10">
        <f t="shared" si="7"/>
        <v>0.83481646273637378</v>
      </c>
      <c r="Q88" s="10">
        <f t="shared" si="8"/>
        <v>-3.0303030303024275E-4</v>
      </c>
    </row>
    <row r="89" spans="1:17" hidden="1" x14ac:dyDescent="0.25">
      <c r="A89" s="1">
        <v>85501</v>
      </c>
      <c r="B89" s="1">
        <v>1372424</v>
      </c>
      <c r="C89" s="1" t="s">
        <v>192</v>
      </c>
      <c r="D89" s="1" t="s">
        <v>193</v>
      </c>
      <c r="E89" s="1" t="s">
        <v>607</v>
      </c>
      <c r="F89" s="12">
        <v>19</v>
      </c>
      <c r="G89" s="13">
        <v>1</v>
      </c>
      <c r="H89" s="13">
        <v>32.29</v>
      </c>
      <c r="K89" s="3">
        <v>39.99</v>
      </c>
      <c r="L89" s="3">
        <v>9.99</v>
      </c>
      <c r="N89" s="9">
        <v>37.99</v>
      </c>
      <c r="O89" s="9">
        <f t="shared" si="6"/>
        <v>18.995000000000001</v>
      </c>
      <c r="P89" s="10">
        <f t="shared" si="7"/>
        <v>0.90140140140140146</v>
      </c>
      <c r="Q89" s="10">
        <f t="shared" si="8"/>
        <v>-2.6315789473678973E-4</v>
      </c>
    </row>
    <row r="90" spans="1:17" hidden="1" x14ac:dyDescent="0.25">
      <c r="A90" s="1">
        <v>85501</v>
      </c>
      <c r="B90" s="1">
        <v>1372432</v>
      </c>
      <c r="C90" s="1" t="s">
        <v>244</v>
      </c>
      <c r="D90" s="1" t="s">
        <v>245</v>
      </c>
      <c r="E90" s="1" t="s">
        <v>612</v>
      </c>
      <c r="F90" s="12">
        <v>14.25</v>
      </c>
      <c r="G90" s="13">
        <v>4</v>
      </c>
      <c r="H90" s="13">
        <v>115.96</v>
      </c>
      <c r="K90" s="3">
        <v>31.99</v>
      </c>
      <c r="L90" s="16">
        <v>10.99</v>
      </c>
      <c r="N90" s="9">
        <v>31.99</v>
      </c>
      <c r="O90" s="9">
        <f t="shared" si="6"/>
        <v>15.994999999999999</v>
      </c>
      <c r="P90" s="10">
        <f t="shared" si="7"/>
        <v>0.4554140127388534</v>
      </c>
      <c r="Q90" s="10">
        <f t="shared" si="8"/>
        <v>0.12245614035087714</v>
      </c>
    </row>
    <row r="91" spans="1:17" hidden="1" x14ac:dyDescent="0.25">
      <c r="A91" s="1">
        <v>85501</v>
      </c>
      <c r="B91" s="1">
        <v>1372440</v>
      </c>
      <c r="C91" s="1" t="s">
        <v>246</v>
      </c>
      <c r="D91" s="1" t="s">
        <v>247</v>
      </c>
      <c r="E91" s="1" t="s">
        <v>607</v>
      </c>
      <c r="F91" s="12">
        <v>16.5</v>
      </c>
      <c r="G91" s="13">
        <v>2</v>
      </c>
      <c r="H91" s="13">
        <v>39.51</v>
      </c>
      <c r="K91" s="3">
        <v>34.99</v>
      </c>
      <c r="L91" s="3">
        <v>11.99</v>
      </c>
      <c r="N91" s="9">
        <v>34.99</v>
      </c>
      <c r="O91" s="9">
        <f t="shared" si="6"/>
        <v>17.495000000000001</v>
      </c>
      <c r="P91" s="10">
        <f t="shared" si="7"/>
        <v>0.45913261050875737</v>
      </c>
      <c r="Q91" s="10">
        <f t="shared" si="8"/>
        <v>6.0303030303030365E-2</v>
      </c>
    </row>
    <row r="92" spans="1:17" hidden="1" x14ac:dyDescent="0.25">
      <c r="A92" s="1">
        <v>85501</v>
      </c>
      <c r="B92" s="1">
        <v>1372459</v>
      </c>
      <c r="C92" s="1" t="s">
        <v>268</v>
      </c>
      <c r="D92" s="1" t="s">
        <v>269</v>
      </c>
      <c r="E92" s="1" t="s">
        <v>620</v>
      </c>
      <c r="F92" s="12">
        <v>19</v>
      </c>
      <c r="G92" s="13">
        <v>8</v>
      </c>
      <c r="H92" s="13">
        <v>225.97</v>
      </c>
      <c r="K92" s="3">
        <v>39.99</v>
      </c>
      <c r="L92" s="3">
        <v>12.99</v>
      </c>
      <c r="N92" s="9">
        <v>39.99</v>
      </c>
      <c r="O92" s="9">
        <f t="shared" si="6"/>
        <v>19.995000000000001</v>
      </c>
      <c r="P92" s="10">
        <f t="shared" si="7"/>
        <v>0.53926096997690531</v>
      </c>
      <c r="Q92" s="10">
        <f t="shared" si="8"/>
        <v>5.2368421052631633E-2</v>
      </c>
    </row>
    <row r="93" spans="1:17" hidden="1" x14ac:dyDescent="0.25">
      <c r="A93" s="1">
        <v>85402</v>
      </c>
      <c r="B93" s="1">
        <v>1037030</v>
      </c>
      <c r="C93" s="1" t="s">
        <v>312</v>
      </c>
      <c r="D93" s="1" t="s">
        <v>313</v>
      </c>
      <c r="E93" s="1" t="s">
        <v>623</v>
      </c>
      <c r="F93" s="12">
        <v>18.5</v>
      </c>
      <c r="G93" s="13">
        <v>0</v>
      </c>
      <c r="H93" s="13">
        <v>0</v>
      </c>
      <c r="K93" s="3">
        <v>49.99</v>
      </c>
      <c r="L93" s="16">
        <v>15.99</v>
      </c>
      <c r="N93" s="9">
        <v>47.99</v>
      </c>
      <c r="O93" s="9">
        <f t="shared" si="6"/>
        <v>23.995000000000001</v>
      </c>
      <c r="P93" s="10">
        <f t="shared" si="7"/>
        <v>0.50062539086929336</v>
      </c>
      <c r="Q93" s="10">
        <f t="shared" si="8"/>
        <v>0.2970270270270271</v>
      </c>
    </row>
    <row r="94" spans="1:17" hidden="1" x14ac:dyDescent="0.25">
      <c r="A94" s="1">
        <v>85402</v>
      </c>
      <c r="B94" s="1">
        <v>1037021</v>
      </c>
      <c r="C94" s="1" t="s">
        <v>319</v>
      </c>
      <c r="D94" s="1" t="s">
        <v>320</v>
      </c>
      <c r="E94" s="1" t="s">
        <v>598</v>
      </c>
      <c r="F94" s="12">
        <v>16.5</v>
      </c>
      <c r="G94" s="13">
        <v>5</v>
      </c>
      <c r="H94" s="13">
        <v>130.69</v>
      </c>
      <c r="K94" s="3">
        <v>36.99</v>
      </c>
      <c r="L94" s="3">
        <v>10.99</v>
      </c>
      <c r="N94" s="9">
        <v>34.99</v>
      </c>
      <c r="O94" s="9">
        <f t="shared" si="6"/>
        <v>17.495000000000001</v>
      </c>
      <c r="P94" s="10">
        <f t="shared" si="7"/>
        <v>0.59190172884440406</v>
      </c>
      <c r="Q94" s="10">
        <f t="shared" si="8"/>
        <v>6.0303030303030365E-2</v>
      </c>
    </row>
    <row r="95" spans="1:17" hidden="1" x14ac:dyDescent="0.25">
      <c r="A95" s="1">
        <v>85402</v>
      </c>
      <c r="B95" s="1">
        <v>1037013</v>
      </c>
      <c r="C95" s="1" t="s">
        <v>323</v>
      </c>
      <c r="D95" s="1" t="s">
        <v>324</v>
      </c>
      <c r="E95" s="1" t="s">
        <v>612</v>
      </c>
      <c r="F95" s="12">
        <v>14.25</v>
      </c>
      <c r="G95" s="13">
        <v>16</v>
      </c>
      <c r="H95" s="13">
        <v>344.32</v>
      </c>
      <c r="K95" s="3">
        <v>29.99</v>
      </c>
      <c r="L95" s="16">
        <v>8.99</v>
      </c>
      <c r="N95" s="9">
        <v>28.99</v>
      </c>
      <c r="O95" s="9">
        <f t="shared" si="6"/>
        <v>14.494999999999999</v>
      </c>
      <c r="P95" s="10">
        <f t="shared" si="7"/>
        <v>0.61234705228031128</v>
      </c>
      <c r="Q95" s="10">
        <f t="shared" si="8"/>
        <v>1.7192982456140295E-2</v>
      </c>
    </row>
    <row r="96" spans="1:17" hidden="1" x14ac:dyDescent="0.25">
      <c r="A96" s="1">
        <v>85503</v>
      </c>
      <c r="B96" s="1">
        <v>1215213</v>
      </c>
      <c r="C96" s="1" t="s">
        <v>70</v>
      </c>
      <c r="D96" s="1" t="s">
        <v>71</v>
      </c>
      <c r="E96" s="1" t="s">
        <v>614</v>
      </c>
      <c r="F96" s="12">
        <v>9.5</v>
      </c>
      <c r="G96" s="13">
        <v>20</v>
      </c>
      <c r="H96" s="13">
        <v>277.89999999999998</v>
      </c>
      <c r="K96" s="3">
        <v>29.99</v>
      </c>
      <c r="L96" s="16">
        <v>7.99</v>
      </c>
      <c r="N96" s="9">
        <v>28.99</v>
      </c>
      <c r="O96" s="9">
        <f t="shared" si="6"/>
        <v>14.494999999999999</v>
      </c>
      <c r="P96" s="10">
        <f t="shared" si="7"/>
        <v>0.81414267834793475</v>
      </c>
      <c r="Q96" s="10">
        <f t="shared" si="8"/>
        <v>0.52578947368421047</v>
      </c>
    </row>
    <row r="97" spans="1:17" hidden="1" x14ac:dyDescent="0.25">
      <c r="A97" s="1">
        <v>85503</v>
      </c>
      <c r="B97" s="1">
        <v>1215205</v>
      </c>
      <c r="C97" s="1" t="s">
        <v>80</v>
      </c>
      <c r="D97" s="1" t="s">
        <v>81</v>
      </c>
      <c r="E97" s="1" t="s">
        <v>610</v>
      </c>
      <c r="F97" s="12">
        <v>7.5</v>
      </c>
      <c r="G97" s="13">
        <v>19</v>
      </c>
      <c r="H97" s="13">
        <v>212.28</v>
      </c>
      <c r="K97" s="3">
        <v>19.989999999999998</v>
      </c>
      <c r="L97" s="3">
        <v>5.99</v>
      </c>
      <c r="N97" s="9">
        <f>K97*0.95</f>
        <v>18.990499999999997</v>
      </c>
      <c r="O97" s="9">
        <f t="shared" si="6"/>
        <v>9.4952499999999986</v>
      </c>
      <c r="P97" s="10">
        <f t="shared" si="7"/>
        <v>0.58518363939899809</v>
      </c>
      <c r="Q97" s="10">
        <f t="shared" si="8"/>
        <v>0.26603333333333318</v>
      </c>
    </row>
    <row r="98" spans="1:17" hidden="1" x14ac:dyDescent="0.25">
      <c r="A98" s="1">
        <v>85503</v>
      </c>
      <c r="B98" s="1">
        <v>1215191</v>
      </c>
      <c r="C98" s="1" t="s">
        <v>82</v>
      </c>
      <c r="D98" s="1" t="s">
        <v>83</v>
      </c>
      <c r="E98" s="1" t="s">
        <v>635</v>
      </c>
      <c r="F98" s="12">
        <v>6.5</v>
      </c>
      <c r="G98" s="13">
        <v>38</v>
      </c>
      <c r="H98" s="13">
        <v>360.77</v>
      </c>
      <c r="K98" s="3">
        <v>13.99</v>
      </c>
      <c r="L98" s="3">
        <v>4.99</v>
      </c>
      <c r="N98" s="9">
        <v>12.99</v>
      </c>
      <c r="O98" s="9">
        <f t="shared" ref="O98:O129" si="9">N98*0.5</f>
        <v>6.4950000000000001</v>
      </c>
      <c r="P98" s="10">
        <f t="shared" ref="P98:P129" si="10">(O98-L98)/L98</f>
        <v>0.30160320641282562</v>
      </c>
      <c r="Q98" s="10">
        <f t="shared" ref="Q98:Q129" si="11">(O98-F98)/F98</f>
        <v>-7.6923076923075286E-4</v>
      </c>
    </row>
    <row r="99" spans="1:17" hidden="1" x14ac:dyDescent="0.25">
      <c r="A99" s="1">
        <v>85501</v>
      </c>
      <c r="B99" s="1">
        <v>1033115</v>
      </c>
      <c r="C99" s="1" t="s">
        <v>294</v>
      </c>
      <c r="D99" s="1" t="s">
        <v>295</v>
      </c>
      <c r="E99" s="1" t="s">
        <v>601</v>
      </c>
      <c r="F99" s="13">
        <v>10.5</v>
      </c>
      <c r="G99" s="13">
        <v>426</v>
      </c>
      <c r="H99" s="14">
        <v>5853</v>
      </c>
      <c r="I99" s="15">
        <v>42205</v>
      </c>
      <c r="K99" s="3">
        <v>26.99</v>
      </c>
      <c r="L99" s="16">
        <v>10.99</v>
      </c>
      <c r="N99" s="9">
        <v>25.99</v>
      </c>
      <c r="O99" s="9">
        <f t="shared" si="9"/>
        <v>12.994999999999999</v>
      </c>
      <c r="P99" s="10">
        <f t="shared" si="10"/>
        <v>0.18243858052775241</v>
      </c>
      <c r="Q99" s="10">
        <f t="shared" si="11"/>
        <v>0.23761904761904754</v>
      </c>
    </row>
    <row r="100" spans="1:17" hidden="1" x14ac:dyDescent="0.25">
      <c r="A100" s="1">
        <v>85501</v>
      </c>
      <c r="B100" s="1">
        <v>1033123</v>
      </c>
      <c r="C100" s="1" t="s">
        <v>300</v>
      </c>
      <c r="D100" s="1" t="s">
        <v>301</v>
      </c>
      <c r="E100" s="1" t="s">
        <v>601</v>
      </c>
      <c r="F100" s="13">
        <v>14</v>
      </c>
      <c r="G100" s="13">
        <v>110</v>
      </c>
      <c r="H100" s="14">
        <v>2216.81</v>
      </c>
      <c r="I100" s="15">
        <v>42205</v>
      </c>
      <c r="K100" s="3">
        <v>32.99</v>
      </c>
      <c r="L100" s="16">
        <v>11.99</v>
      </c>
      <c r="N100" s="9">
        <v>31.99</v>
      </c>
      <c r="O100" s="9">
        <f t="shared" si="9"/>
        <v>15.994999999999999</v>
      </c>
      <c r="P100" s="10">
        <f t="shared" si="10"/>
        <v>0.33402835696413669</v>
      </c>
      <c r="Q100" s="10">
        <f t="shared" si="11"/>
        <v>0.14249999999999993</v>
      </c>
    </row>
    <row r="101" spans="1:17" hidden="1" x14ac:dyDescent="0.25">
      <c r="A101" s="1">
        <v>85600</v>
      </c>
      <c r="B101" s="1">
        <v>1397133</v>
      </c>
      <c r="C101" s="1" t="s">
        <v>176</v>
      </c>
      <c r="D101" s="1" t="s">
        <v>177</v>
      </c>
      <c r="E101" s="1" t="s">
        <v>610</v>
      </c>
      <c r="F101" s="12">
        <v>42.75</v>
      </c>
      <c r="G101" s="13">
        <v>6</v>
      </c>
      <c r="H101" s="13">
        <v>398.31</v>
      </c>
      <c r="K101" s="3">
        <v>89.99</v>
      </c>
      <c r="L101" s="16">
        <v>39.99</v>
      </c>
      <c r="N101" s="9">
        <v>85.99</v>
      </c>
      <c r="O101" s="9">
        <f t="shared" si="9"/>
        <v>42.994999999999997</v>
      </c>
      <c r="P101" s="10">
        <f t="shared" si="10"/>
        <v>7.5143785946486505E-2</v>
      </c>
      <c r="Q101" s="10">
        <f t="shared" si="11"/>
        <v>5.7309941520467238E-3</v>
      </c>
    </row>
    <row r="102" spans="1:17" hidden="1" x14ac:dyDescent="0.25">
      <c r="A102" s="1">
        <v>85600</v>
      </c>
      <c r="B102" s="1">
        <v>1397141</v>
      </c>
      <c r="C102" s="1" t="s">
        <v>196</v>
      </c>
      <c r="D102" s="1" t="s">
        <v>197</v>
      </c>
      <c r="E102" s="1" t="s">
        <v>614</v>
      </c>
      <c r="F102" s="12">
        <v>47.5</v>
      </c>
      <c r="G102" s="13">
        <v>6</v>
      </c>
      <c r="H102" s="13">
        <v>466.98</v>
      </c>
      <c r="K102" s="3">
        <v>99.99</v>
      </c>
      <c r="L102" s="16">
        <v>42.99</v>
      </c>
      <c r="N102" s="9">
        <v>94.99</v>
      </c>
      <c r="O102" s="9">
        <f t="shared" si="9"/>
        <v>47.494999999999997</v>
      </c>
      <c r="P102" s="10">
        <f t="shared" si="10"/>
        <v>0.10479181204931369</v>
      </c>
      <c r="Q102" s="10">
        <f t="shared" si="11"/>
        <v>-1.0526315789479069E-4</v>
      </c>
    </row>
    <row r="103" spans="1:17" hidden="1" x14ac:dyDescent="0.25">
      <c r="A103" s="1">
        <v>85600</v>
      </c>
      <c r="B103" s="1">
        <v>1397150</v>
      </c>
      <c r="C103" s="1" t="s">
        <v>198</v>
      </c>
      <c r="D103" s="1" t="s">
        <v>199</v>
      </c>
      <c r="E103" s="1" t="s">
        <v>617</v>
      </c>
      <c r="F103" s="12">
        <v>61.75</v>
      </c>
      <c r="G103" s="13">
        <v>0</v>
      </c>
      <c r="H103" s="13">
        <v>0</v>
      </c>
      <c r="K103" s="3">
        <v>129.99</v>
      </c>
      <c r="L103" s="16">
        <v>57.99</v>
      </c>
      <c r="N103" s="9">
        <v>124.99</v>
      </c>
      <c r="O103" s="9">
        <f t="shared" si="9"/>
        <v>62.494999999999997</v>
      </c>
      <c r="P103" s="10">
        <f t="shared" si="10"/>
        <v>7.768580789791335E-2</v>
      </c>
      <c r="Q103" s="10">
        <f t="shared" si="11"/>
        <v>1.2064777327935181E-2</v>
      </c>
    </row>
    <row r="104" spans="1:17" hidden="1" x14ac:dyDescent="0.25">
      <c r="A104" s="1">
        <v>85401</v>
      </c>
      <c r="B104" s="1">
        <v>1372300</v>
      </c>
      <c r="C104" s="1" t="s">
        <v>314</v>
      </c>
      <c r="D104" s="1" t="s">
        <v>315</v>
      </c>
      <c r="E104" s="1" t="s">
        <v>607</v>
      </c>
      <c r="F104" s="12">
        <v>66.5</v>
      </c>
      <c r="G104" s="13">
        <v>12</v>
      </c>
      <c r="H104" s="14">
        <v>1158.6400000000001</v>
      </c>
      <c r="K104" s="3">
        <v>119.99</v>
      </c>
      <c r="L104" s="16">
        <v>49.99</v>
      </c>
      <c r="N104" s="9">
        <v>119.99</v>
      </c>
      <c r="O104" s="9">
        <f t="shared" si="9"/>
        <v>59.994999999999997</v>
      </c>
      <c r="P104" s="10">
        <f t="shared" si="10"/>
        <v>0.20014002800560102</v>
      </c>
      <c r="Q104" s="10">
        <f t="shared" si="11"/>
        <v>-9.7819548872180487E-2</v>
      </c>
    </row>
    <row r="105" spans="1:17" hidden="1" x14ac:dyDescent="0.25">
      <c r="A105" s="1">
        <v>85401</v>
      </c>
      <c r="B105" s="1">
        <v>1372319</v>
      </c>
      <c r="C105" s="1" t="s">
        <v>325</v>
      </c>
      <c r="D105" s="1" t="s">
        <v>326</v>
      </c>
      <c r="E105" s="1" t="s">
        <v>620</v>
      </c>
      <c r="F105" s="12">
        <v>85.5</v>
      </c>
      <c r="G105" s="13">
        <v>8</v>
      </c>
      <c r="H105" s="14">
        <v>1068.94</v>
      </c>
      <c r="K105" s="3">
        <v>179.99</v>
      </c>
      <c r="L105" s="16">
        <v>69.989999999999995</v>
      </c>
      <c r="N105" s="9">
        <v>179.99</v>
      </c>
      <c r="O105" s="9">
        <f t="shared" si="9"/>
        <v>89.995000000000005</v>
      </c>
      <c r="P105" s="10">
        <f t="shared" si="10"/>
        <v>0.28582654664952151</v>
      </c>
      <c r="Q105" s="10">
        <f t="shared" si="11"/>
        <v>5.257309941520473E-2</v>
      </c>
    </row>
    <row r="106" spans="1:17" hidden="1" x14ac:dyDescent="0.25">
      <c r="A106" s="1">
        <v>85401</v>
      </c>
      <c r="B106" s="1">
        <v>1372327</v>
      </c>
      <c r="C106" s="1" t="s">
        <v>327</v>
      </c>
      <c r="D106" s="1" t="s">
        <v>328</v>
      </c>
      <c r="E106" s="1" t="s">
        <v>636</v>
      </c>
      <c r="F106" s="12">
        <v>95.5</v>
      </c>
      <c r="G106" s="13">
        <v>5</v>
      </c>
      <c r="H106" s="13">
        <v>708.01</v>
      </c>
      <c r="K106" s="3">
        <v>189.99</v>
      </c>
      <c r="L106" s="16">
        <v>79.989999999999995</v>
      </c>
      <c r="N106" s="9">
        <v>189.99</v>
      </c>
      <c r="O106" s="9">
        <f t="shared" si="9"/>
        <v>94.995000000000005</v>
      </c>
      <c r="P106" s="10">
        <f t="shared" si="10"/>
        <v>0.18758594824353059</v>
      </c>
      <c r="Q106" s="10">
        <f t="shared" si="11"/>
        <v>-5.2879581151831986E-3</v>
      </c>
    </row>
    <row r="107" spans="1:17" hidden="1" x14ac:dyDescent="0.25">
      <c r="A107" s="1">
        <v>85600</v>
      </c>
      <c r="B107" s="1">
        <v>1372688</v>
      </c>
      <c r="C107" s="1" t="s">
        <v>206</v>
      </c>
      <c r="D107" s="1" t="s">
        <v>207</v>
      </c>
      <c r="E107" s="1" t="s">
        <v>637</v>
      </c>
      <c r="F107" s="12">
        <v>12.75</v>
      </c>
      <c r="G107" s="13">
        <v>5</v>
      </c>
      <c r="H107" s="13">
        <v>111.75</v>
      </c>
      <c r="K107" s="3">
        <v>29.99</v>
      </c>
      <c r="L107" s="3">
        <v>9.99</v>
      </c>
      <c r="N107" s="9">
        <v>28.99</v>
      </c>
      <c r="O107" s="9">
        <f t="shared" si="9"/>
        <v>14.494999999999999</v>
      </c>
      <c r="P107" s="10">
        <f t="shared" si="10"/>
        <v>0.45095095095095084</v>
      </c>
      <c r="Q107" s="10">
        <f t="shared" si="11"/>
        <v>0.13686274509803917</v>
      </c>
    </row>
    <row r="108" spans="1:17" hidden="1" x14ac:dyDescent="0.25">
      <c r="A108" s="1">
        <v>85600</v>
      </c>
      <c r="B108" s="1">
        <v>1372696</v>
      </c>
      <c r="C108" s="1" t="s">
        <v>214</v>
      </c>
      <c r="D108" s="1" t="s">
        <v>215</v>
      </c>
      <c r="E108" s="1" t="s">
        <v>610</v>
      </c>
      <c r="F108" s="12">
        <v>14.25</v>
      </c>
      <c r="G108" s="13">
        <v>12</v>
      </c>
      <c r="H108" s="13">
        <v>254.25</v>
      </c>
      <c r="K108" s="3">
        <v>36.99</v>
      </c>
      <c r="L108" s="3">
        <v>10.99</v>
      </c>
      <c r="N108" s="9">
        <v>34.99</v>
      </c>
      <c r="O108" s="9">
        <f t="shared" si="9"/>
        <v>17.495000000000001</v>
      </c>
      <c r="P108" s="10">
        <f t="shared" si="10"/>
        <v>0.59190172884440406</v>
      </c>
      <c r="Q108" s="10">
        <f t="shared" si="11"/>
        <v>0.2277192982456141</v>
      </c>
    </row>
    <row r="109" spans="1:17" hidden="1" x14ac:dyDescent="0.25">
      <c r="A109" s="1">
        <v>85600</v>
      </c>
      <c r="B109" s="1">
        <v>1372700</v>
      </c>
      <c r="C109" s="1" t="s">
        <v>218</v>
      </c>
      <c r="D109" s="1" t="s">
        <v>219</v>
      </c>
      <c r="E109" s="1" t="s">
        <v>606</v>
      </c>
      <c r="F109" s="12">
        <v>17.25</v>
      </c>
      <c r="G109" s="13">
        <v>9</v>
      </c>
      <c r="H109" s="13">
        <v>243.7</v>
      </c>
      <c r="K109" s="3">
        <v>44.99</v>
      </c>
      <c r="L109" s="3">
        <v>13.5</v>
      </c>
      <c r="N109" s="9">
        <v>42.99</v>
      </c>
      <c r="O109" s="9">
        <f t="shared" si="9"/>
        <v>21.495000000000001</v>
      </c>
      <c r="P109" s="10">
        <f t="shared" si="10"/>
        <v>0.59222222222222232</v>
      </c>
      <c r="Q109" s="10">
        <f t="shared" si="11"/>
        <v>0.24608695652173918</v>
      </c>
    </row>
    <row r="110" spans="1:17" hidden="1" x14ac:dyDescent="0.25">
      <c r="A110" s="1">
        <v>85503</v>
      </c>
      <c r="B110" s="1">
        <v>1037226</v>
      </c>
      <c r="C110" s="1" t="s">
        <v>90</v>
      </c>
      <c r="D110" s="1" t="s">
        <v>91</v>
      </c>
      <c r="E110" s="1" t="s">
        <v>614</v>
      </c>
      <c r="F110" s="12">
        <v>19</v>
      </c>
      <c r="G110" s="13">
        <v>3</v>
      </c>
      <c r="H110" s="13">
        <v>75.97</v>
      </c>
      <c r="K110" s="3">
        <v>49.99</v>
      </c>
      <c r="L110" s="16">
        <v>17.989999999999998</v>
      </c>
      <c r="N110" s="9">
        <v>47.99</v>
      </c>
      <c r="O110" s="9">
        <f t="shared" si="9"/>
        <v>23.995000000000001</v>
      </c>
      <c r="P110" s="10">
        <f t="shared" si="10"/>
        <v>0.33379655364091176</v>
      </c>
      <c r="Q110" s="10">
        <f t="shared" si="11"/>
        <v>0.26289473684210529</v>
      </c>
    </row>
    <row r="111" spans="1:17" hidden="1" x14ac:dyDescent="0.25">
      <c r="A111" s="1">
        <v>85503</v>
      </c>
      <c r="B111" s="1">
        <v>1037218</v>
      </c>
      <c r="C111" s="1" t="s">
        <v>96</v>
      </c>
      <c r="D111" s="1" t="s">
        <v>97</v>
      </c>
      <c r="E111" s="1" t="s">
        <v>610</v>
      </c>
      <c r="F111" s="12">
        <v>16.5</v>
      </c>
      <c r="G111" s="13">
        <v>21</v>
      </c>
      <c r="H111" s="13">
        <v>498.77</v>
      </c>
      <c r="K111" s="3">
        <v>44.99</v>
      </c>
      <c r="L111" s="16">
        <v>15.99</v>
      </c>
      <c r="N111" s="9">
        <v>42.99</v>
      </c>
      <c r="O111" s="9">
        <f t="shared" si="9"/>
        <v>21.495000000000001</v>
      </c>
      <c r="P111" s="10">
        <f t="shared" si="10"/>
        <v>0.34427767354596628</v>
      </c>
      <c r="Q111" s="10">
        <f t="shared" si="11"/>
        <v>0.30272727272727279</v>
      </c>
    </row>
    <row r="112" spans="1:17" hidden="1" x14ac:dyDescent="0.25">
      <c r="A112" s="1">
        <v>85503</v>
      </c>
      <c r="B112" s="1">
        <v>1037200</v>
      </c>
      <c r="C112" s="1" t="s">
        <v>104</v>
      </c>
      <c r="D112" s="1" t="s">
        <v>105</v>
      </c>
      <c r="E112" s="1" t="s">
        <v>635</v>
      </c>
      <c r="F112" s="12">
        <v>14</v>
      </c>
      <c r="G112" s="13">
        <v>20</v>
      </c>
      <c r="H112" s="13">
        <v>424.45</v>
      </c>
      <c r="K112" s="3">
        <v>39.99</v>
      </c>
      <c r="L112" s="16">
        <v>14.99</v>
      </c>
      <c r="N112" s="9">
        <f>K112*0.95</f>
        <v>37.990499999999997</v>
      </c>
      <c r="O112" s="9">
        <f t="shared" si="9"/>
        <v>18.995249999999999</v>
      </c>
      <c r="P112" s="10">
        <f t="shared" si="10"/>
        <v>0.26719479653102057</v>
      </c>
      <c r="Q112" s="10">
        <f t="shared" si="11"/>
        <v>0.35680357142857133</v>
      </c>
    </row>
    <row r="113" spans="1:17" hidden="1" x14ac:dyDescent="0.25">
      <c r="A113" s="1">
        <v>85300</v>
      </c>
      <c r="B113" s="1">
        <v>1215345</v>
      </c>
      <c r="C113" s="1" t="s">
        <v>170</v>
      </c>
      <c r="D113" s="1" t="s">
        <v>171</v>
      </c>
      <c r="E113" s="1" t="s">
        <v>638</v>
      </c>
      <c r="F113" s="12">
        <v>47.5</v>
      </c>
      <c r="G113" s="13">
        <v>6</v>
      </c>
      <c r="H113" s="13">
        <v>433.34</v>
      </c>
      <c r="K113" s="3">
        <v>99.99</v>
      </c>
      <c r="L113" s="3">
        <v>44.99</v>
      </c>
      <c r="N113" s="9">
        <f>K113*0.95</f>
        <v>94.990499999999997</v>
      </c>
      <c r="O113" s="9">
        <f t="shared" si="9"/>
        <v>47.495249999999999</v>
      </c>
      <c r="P113" s="10">
        <f t="shared" si="10"/>
        <v>5.5684596577017041E-2</v>
      </c>
      <c r="Q113" s="10">
        <f t="shared" si="11"/>
        <v>-1.0000000000002872E-4</v>
      </c>
    </row>
    <row r="114" spans="1:17" hidden="1" x14ac:dyDescent="0.25">
      <c r="A114" s="1">
        <v>85300</v>
      </c>
      <c r="B114" s="1">
        <v>1215337</v>
      </c>
      <c r="C114" s="1" t="s">
        <v>180</v>
      </c>
      <c r="D114" s="1" t="s">
        <v>181</v>
      </c>
      <c r="E114" s="1" t="s">
        <v>639</v>
      </c>
      <c r="F114" s="12">
        <v>38</v>
      </c>
      <c r="G114" s="13">
        <v>6</v>
      </c>
      <c r="H114" s="13">
        <v>363.49</v>
      </c>
      <c r="K114" s="3">
        <v>79.989999999999995</v>
      </c>
      <c r="L114" s="3">
        <v>27.99</v>
      </c>
      <c r="N114" s="9">
        <f>K114*0.95</f>
        <v>75.990499999999997</v>
      </c>
      <c r="O114" s="9">
        <f t="shared" si="9"/>
        <v>37.995249999999999</v>
      </c>
      <c r="P114" s="10">
        <f t="shared" si="10"/>
        <v>0.35745802072168636</v>
      </c>
      <c r="Q114" s="10">
        <f t="shared" si="11"/>
        <v>-1.2500000000003589E-4</v>
      </c>
    </row>
    <row r="115" spans="1:17" hidden="1" x14ac:dyDescent="0.25">
      <c r="A115" s="1">
        <v>85300</v>
      </c>
      <c r="B115" s="1">
        <v>1215329</v>
      </c>
      <c r="C115" s="1" t="s">
        <v>182</v>
      </c>
      <c r="D115" s="1" t="s">
        <v>183</v>
      </c>
      <c r="E115" s="1" t="s">
        <v>615</v>
      </c>
      <c r="F115" s="12">
        <v>23.75</v>
      </c>
      <c r="G115" s="13">
        <v>33</v>
      </c>
      <c r="H115" s="14">
        <v>1152.18</v>
      </c>
      <c r="K115" s="3">
        <v>49.99</v>
      </c>
      <c r="L115" s="3">
        <v>23.99</v>
      </c>
      <c r="N115" s="9">
        <v>47.99</v>
      </c>
      <c r="O115" s="9">
        <f t="shared" si="9"/>
        <v>23.995000000000001</v>
      </c>
      <c r="P115" s="10">
        <f t="shared" si="10"/>
        <v>2.084201750730537E-4</v>
      </c>
      <c r="Q115" s="10">
        <f t="shared" si="11"/>
        <v>1.0315789473684252E-2</v>
      </c>
    </row>
    <row r="116" spans="1:17" hidden="1" x14ac:dyDescent="0.25">
      <c r="A116" s="1">
        <v>85601</v>
      </c>
      <c r="B116" s="1">
        <v>1053213</v>
      </c>
      <c r="C116" s="1" t="s">
        <v>204</v>
      </c>
      <c r="D116" s="1" t="s">
        <v>205</v>
      </c>
      <c r="E116" s="1" t="s">
        <v>610</v>
      </c>
      <c r="F116" s="13">
        <v>18.5</v>
      </c>
      <c r="G116" s="13">
        <v>24</v>
      </c>
      <c r="H116" s="13">
        <v>682.36</v>
      </c>
      <c r="I116" s="15">
        <v>42205</v>
      </c>
      <c r="K116" s="3">
        <v>29.99</v>
      </c>
      <c r="L116" s="3">
        <v>12.99</v>
      </c>
      <c r="N116" s="9">
        <v>29.99</v>
      </c>
      <c r="O116" s="9">
        <f t="shared" si="9"/>
        <v>14.994999999999999</v>
      </c>
      <c r="P116" s="10">
        <f t="shared" si="10"/>
        <v>0.15434949961508845</v>
      </c>
      <c r="Q116" s="10">
        <f t="shared" si="11"/>
        <v>-0.18945945945945949</v>
      </c>
    </row>
    <row r="117" spans="1:17" hidden="1" x14ac:dyDescent="0.25">
      <c r="A117" s="1">
        <v>85300</v>
      </c>
      <c r="B117" s="1">
        <v>1372963</v>
      </c>
      <c r="C117" s="1" t="s">
        <v>194</v>
      </c>
      <c r="D117" s="1" t="s">
        <v>195</v>
      </c>
      <c r="E117" s="1" t="s">
        <v>607</v>
      </c>
      <c r="F117" s="12">
        <v>23.75</v>
      </c>
      <c r="G117" s="13">
        <v>4</v>
      </c>
      <c r="H117" s="13">
        <v>129.74</v>
      </c>
      <c r="K117" s="3">
        <v>49.99</v>
      </c>
      <c r="L117" s="3">
        <v>17.989999999999998</v>
      </c>
      <c r="N117" s="9">
        <v>48.99</v>
      </c>
      <c r="O117" s="9">
        <f t="shared" si="9"/>
        <v>24.495000000000001</v>
      </c>
      <c r="P117" s="10">
        <f t="shared" si="10"/>
        <v>0.36158977209560883</v>
      </c>
      <c r="Q117" s="10">
        <f t="shared" si="11"/>
        <v>3.1368421052631622E-2</v>
      </c>
    </row>
    <row r="118" spans="1:17" hidden="1" x14ac:dyDescent="0.25">
      <c r="A118" s="1">
        <v>85300</v>
      </c>
      <c r="B118" s="1">
        <v>1372971</v>
      </c>
      <c r="C118" s="1" t="s">
        <v>212</v>
      </c>
      <c r="D118" s="1" t="s">
        <v>213</v>
      </c>
      <c r="E118" s="1" t="s">
        <v>620</v>
      </c>
      <c r="F118" s="12">
        <v>33.25</v>
      </c>
      <c r="G118" s="13">
        <v>2</v>
      </c>
      <c r="H118" s="13">
        <v>112.54</v>
      </c>
      <c r="K118" s="3">
        <v>69.989999999999995</v>
      </c>
      <c r="L118" s="16">
        <v>22.99</v>
      </c>
      <c r="N118" s="9">
        <v>68.989999999999995</v>
      </c>
      <c r="O118" s="9">
        <f t="shared" si="9"/>
        <v>34.494999999999997</v>
      </c>
      <c r="P118" s="10">
        <f t="shared" si="10"/>
        <v>0.50043497172683771</v>
      </c>
      <c r="Q118" s="10">
        <f t="shared" si="11"/>
        <v>3.7443609022556314E-2</v>
      </c>
    </row>
    <row r="119" spans="1:17" hidden="1" x14ac:dyDescent="0.25">
      <c r="A119" s="1">
        <v>85300</v>
      </c>
      <c r="B119" s="1">
        <v>1372980</v>
      </c>
      <c r="C119" s="1" t="s">
        <v>222</v>
      </c>
      <c r="D119" s="1" t="s">
        <v>223</v>
      </c>
      <c r="E119" s="1" t="s">
        <v>636</v>
      </c>
      <c r="F119" s="12">
        <v>42.75</v>
      </c>
      <c r="G119" s="13">
        <v>1</v>
      </c>
      <c r="H119" s="13">
        <v>65.239999999999995</v>
      </c>
      <c r="K119" s="3">
        <v>99.99</v>
      </c>
      <c r="L119" s="16">
        <v>30.99</v>
      </c>
      <c r="N119" s="9">
        <v>98.99</v>
      </c>
      <c r="O119" s="9">
        <f t="shared" si="9"/>
        <v>49.494999999999997</v>
      </c>
      <c r="P119" s="10">
        <f t="shared" si="10"/>
        <v>0.59712810584059373</v>
      </c>
      <c r="Q119" s="10">
        <f t="shared" si="11"/>
        <v>0.15777777777777771</v>
      </c>
    </row>
    <row r="120" spans="1:17" hidden="1" x14ac:dyDescent="0.25">
      <c r="A120" s="1">
        <v>85503</v>
      </c>
      <c r="B120" s="1">
        <v>1372769</v>
      </c>
      <c r="C120" s="1" t="s">
        <v>106</v>
      </c>
      <c r="D120" s="1" t="s">
        <v>107</v>
      </c>
      <c r="E120" s="1" t="s">
        <v>640</v>
      </c>
      <c r="F120" s="12">
        <v>17.5</v>
      </c>
      <c r="G120" s="13">
        <v>5</v>
      </c>
      <c r="H120" s="13">
        <v>134.63999999999999</v>
      </c>
      <c r="K120" s="3">
        <v>23.99</v>
      </c>
      <c r="L120" s="16">
        <v>8.5</v>
      </c>
      <c r="N120" s="9">
        <v>23.99</v>
      </c>
      <c r="O120" s="9">
        <f t="shared" si="9"/>
        <v>11.994999999999999</v>
      </c>
      <c r="P120" s="10">
        <f t="shared" si="10"/>
        <v>0.4111764705882352</v>
      </c>
      <c r="Q120" s="10">
        <f t="shared" si="11"/>
        <v>-0.31457142857142861</v>
      </c>
    </row>
    <row r="121" spans="1:17" hidden="1" x14ac:dyDescent="0.25">
      <c r="A121" s="1">
        <v>85300</v>
      </c>
      <c r="B121" s="1">
        <v>1033409</v>
      </c>
      <c r="C121" s="1" t="s">
        <v>224</v>
      </c>
      <c r="D121" s="1" t="s">
        <v>225</v>
      </c>
      <c r="E121" s="1" t="s">
        <v>623</v>
      </c>
      <c r="F121" s="13">
        <v>55</v>
      </c>
      <c r="G121" s="13">
        <v>4</v>
      </c>
      <c r="H121" s="13">
        <v>337.98</v>
      </c>
      <c r="I121" s="15">
        <v>42242</v>
      </c>
      <c r="K121" s="3">
        <v>129.99</v>
      </c>
      <c r="L121" s="3">
        <v>44.99</v>
      </c>
      <c r="N121" s="9">
        <f>K121*0.95</f>
        <v>123.4905</v>
      </c>
      <c r="O121" s="9">
        <f t="shared" si="9"/>
        <v>61.745249999999999</v>
      </c>
      <c r="P121" s="10">
        <f t="shared" si="10"/>
        <v>0.37242164925539001</v>
      </c>
      <c r="Q121" s="10">
        <f t="shared" si="11"/>
        <v>0.12264090909090906</v>
      </c>
    </row>
    <row r="122" spans="1:17" hidden="1" x14ac:dyDescent="0.25">
      <c r="A122" s="1">
        <v>85300</v>
      </c>
      <c r="B122" s="1">
        <v>1033395</v>
      </c>
      <c r="C122" s="1" t="s">
        <v>248</v>
      </c>
      <c r="D122" s="1" t="s">
        <v>249</v>
      </c>
      <c r="E122" s="1" t="s">
        <v>606</v>
      </c>
      <c r="F122" s="13">
        <v>32.5</v>
      </c>
      <c r="G122" s="13">
        <v>55</v>
      </c>
      <c r="H122" s="14">
        <v>2657.43</v>
      </c>
      <c r="I122" s="15">
        <v>42242</v>
      </c>
      <c r="K122" s="3">
        <v>79.989999999999995</v>
      </c>
      <c r="L122" s="16">
        <v>29.99</v>
      </c>
      <c r="N122" s="9">
        <f>K122*0.95</f>
        <v>75.990499999999997</v>
      </c>
      <c r="O122" s="9">
        <f t="shared" si="9"/>
        <v>37.995249999999999</v>
      </c>
      <c r="P122" s="10">
        <f t="shared" si="10"/>
        <v>0.26693064354784929</v>
      </c>
      <c r="Q122" s="10">
        <f t="shared" si="11"/>
        <v>0.16908461538461533</v>
      </c>
    </row>
    <row r="123" spans="1:17" hidden="1" x14ac:dyDescent="0.25">
      <c r="A123" s="1">
        <v>85300</v>
      </c>
      <c r="B123" s="1">
        <v>1033387</v>
      </c>
      <c r="C123" s="1" t="s">
        <v>250</v>
      </c>
      <c r="D123" s="1" t="s">
        <v>251</v>
      </c>
      <c r="E123" s="1" t="s">
        <v>610</v>
      </c>
      <c r="F123" s="13">
        <v>23.5</v>
      </c>
      <c r="G123" s="13">
        <v>226</v>
      </c>
      <c r="H123" s="14">
        <v>7880.65</v>
      </c>
      <c r="I123" s="15">
        <v>42205</v>
      </c>
      <c r="K123" s="3">
        <v>69.989999999999995</v>
      </c>
      <c r="L123" s="16">
        <v>24.99</v>
      </c>
      <c r="N123" s="9">
        <f>K123*0.95</f>
        <v>66.490499999999997</v>
      </c>
      <c r="O123" s="9">
        <f t="shared" si="9"/>
        <v>33.245249999999999</v>
      </c>
      <c r="P123" s="10">
        <f t="shared" si="10"/>
        <v>0.33034213685474195</v>
      </c>
      <c r="Q123" s="10">
        <f t="shared" si="11"/>
        <v>0.41469148936170208</v>
      </c>
    </row>
    <row r="124" spans="1:17" hidden="1" x14ac:dyDescent="0.25">
      <c r="A124" s="1">
        <v>85300</v>
      </c>
      <c r="B124" s="1">
        <v>1215400</v>
      </c>
      <c r="C124" s="1" t="s">
        <v>254</v>
      </c>
      <c r="D124" s="1" t="s">
        <v>255</v>
      </c>
      <c r="E124" s="1" t="s">
        <v>623</v>
      </c>
      <c r="F124" s="12">
        <v>34</v>
      </c>
      <c r="G124" s="13">
        <v>0</v>
      </c>
      <c r="H124" s="13">
        <v>0</v>
      </c>
      <c r="K124" s="3">
        <v>79.989999999999995</v>
      </c>
      <c r="L124" s="16">
        <v>25.99</v>
      </c>
      <c r="N124" s="9">
        <f>K124*0.95</f>
        <v>75.990499999999997</v>
      </c>
      <c r="O124" s="9">
        <f t="shared" si="9"/>
        <v>37.995249999999999</v>
      </c>
      <c r="P124" s="10">
        <f t="shared" si="10"/>
        <v>0.46191804540207776</v>
      </c>
      <c r="Q124" s="10">
        <f t="shared" si="11"/>
        <v>0.11750735294117642</v>
      </c>
    </row>
    <row r="125" spans="1:17" hidden="1" x14ac:dyDescent="0.25">
      <c r="A125" s="1">
        <v>85300</v>
      </c>
      <c r="B125" s="1">
        <v>1215396</v>
      </c>
      <c r="C125" s="1" t="s">
        <v>276</v>
      </c>
      <c r="D125" s="1" t="s">
        <v>277</v>
      </c>
      <c r="E125" s="1" t="s">
        <v>606</v>
      </c>
      <c r="F125" s="12">
        <v>29</v>
      </c>
      <c r="G125" s="13">
        <v>0</v>
      </c>
      <c r="H125" s="13">
        <v>0</v>
      </c>
      <c r="K125" s="3">
        <v>59.99</v>
      </c>
      <c r="L125" s="3">
        <v>18.989999999999998</v>
      </c>
      <c r="N125" s="9">
        <v>57.99</v>
      </c>
      <c r="O125" s="9">
        <f t="shared" si="9"/>
        <v>28.995000000000001</v>
      </c>
      <c r="P125" s="10">
        <f t="shared" si="10"/>
        <v>0.52685624012638244</v>
      </c>
      <c r="Q125" s="10">
        <f t="shared" si="11"/>
        <v>-1.7241379310341397E-4</v>
      </c>
    </row>
    <row r="126" spans="1:17" hidden="1" x14ac:dyDescent="0.25">
      <c r="A126" s="1">
        <v>85300</v>
      </c>
      <c r="B126" s="1">
        <v>1215388</v>
      </c>
      <c r="C126" s="1" t="s">
        <v>278</v>
      </c>
      <c r="D126" s="1" t="s">
        <v>279</v>
      </c>
      <c r="E126" s="1" t="s">
        <v>610</v>
      </c>
      <c r="F126" s="12">
        <v>24</v>
      </c>
      <c r="G126" s="13">
        <v>23</v>
      </c>
      <c r="H126" s="13">
        <v>818.97</v>
      </c>
      <c r="K126" s="3">
        <v>54.99</v>
      </c>
      <c r="L126" s="3">
        <v>13.99</v>
      </c>
      <c r="N126" s="9">
        <v>52.99</v>
      </c>
      <c r="O126" s="9">
        <f t="shared" si="9"/>
        <v>26.495000000000001</v>
      </c>
      <c r="P126" s="10">
        <f t="shared" si="10"/>
        <v>0.89385275196568981</v>
      </c>
      <c r="Q126" s="10">
        <f t="shared" si="11"/>
        <v>0.10395833333333337</v>
      </c>
    </row>
    <row r="127" spans="1:17" hidden="1" x14ac:dyDescent="0.25">
      <c r="A127" s="1">
        <v>85402</v>
      </c>
      <c r="B127" s="1">
        <v>1053264</v>
      </c>
      <c r="C127" s="1" t="s">
        <v>339</v>
      </c>
      <c r="D127" s="1" t="s">
        <v>340</v>
      </c>
      <c r="E127" s="1" t="s">
        <v>606</v>
      </c>
      <c r="F127" s="12">
        <v>16.5</v>
      </c>
      <c r="G127" s="13">
        <v>25</v>
      </c>
      <c r="H127" s="13">
        <v>598.72</v>
      </c>
      <c r="K127" s="3">
        <v>49.99</v>
      </c>
      <c r="L127" s="16">
        <v>19.989999999999998</v>
      </c>
      <c r="N127" s="9">
        <v>47.99</v>
      </c>
      <c r="O127" s="9">
        <f t="shared" si="9"/>
        <v>23.995000000000001</v>
      </c>
      <c r="P127" s="10">
        <f t="shared" si="10"/>
        <v>0.20035017508754391</v>
      </c>
      <c r="Q127" s="10">
        <f t="shared" si="11"/>
        <v>0.45424242424242428</v>
      </c>
    </row>
    <row r="128" spans="1:17" hidden="1" x14ac:dyDescent="0.25">
      <c r="A128" s="1">
        <v>85600</v>
      </c>
      <c r="B128" s="1">
        <v>1053272</v>
      </c>
      <c r="C128" s="1" t="s">
        <v>220</v>
      </c>
      <c r="D128" s="1" t="s">
        <v>221</v>
      </c>
      <c r="E128" s="1" t="s">
        <v>614</v>
      </c>
      <c r="F128" s="12">
        <v>28.5</v>
      </c>
      <c r="G128" s="13">
        <v>16</v>
      </c>
      <c r="H128" s="13">
        <v>669.47</v>
      </c>
      <c r="K128" s="3">
        <v>69.989999999999995</v>
      </c>
      <c r="L128" s="16">
        <v>28.99</v>
      </c>
      <c r="N128" s="9">
        <v>66.989999999999995</v>
      </c>
      <c r="O128" s="9">
        <f t="shared" si="9"/>
        <v>33.494999999999997</v>
      </c>
      <c r="P128" s="10">
        <f t="shared" si="10"/>
        <v>0.15539841324594686</v>
      </c>
      <c r="Q128" s="10">
        <f t="shared" si="11"/>
        <v>0.17526315789473676</v>
      </c>
    </row>
    <row r="129" spans="1:17" hidden="1" x14ac:dyDescent="0.25">
      <c r="A129" s="1">
        <v>85503</v>
      </c>
      <c r="B129" s="1">
        <v>1037846</v>
      </c>
      <c r="C129" s="1" t="s">
        <v>108</v>
      </c>
      <c r="D129" s="1" t="s">
        <v>109</v>
      </c>
      <c r="E129" s="1" t="s">
        <v>635</v>
      </c>
      <c r="F129" s="12">
        <v>10</v>
      </c>
      <c r="G129" s="13">
        <v>38</v>
      </c>
      <c r="H129" s="13">
        <v>538.25</v>
      </c>
      <c r="K129" s="3">
        <v>26.99</v>
      </c>
      <c r="L129" s="3">
        <v>5.99</v>
      </c>
      <c r="N129" s="9">
        <v>25.99</v>
      </c>
      <c r="O129" s="9">
        <f t="shared" si="9"/>
        <v>12.994999999999999</v>
      </c>
      <c r="P129" s="10">
        <f t="shared" si="10"/>
        <v>1.1694490818030048</v>
      </c>
      <c r="Q129" s="10">
        <f t="shared" si="11"/>
        <v>0.29949999999999993</v>
      </c>
    </row>
    <row r="130" spans="1:17" hidden="1" x14ac:dyDescent="0.25">
      <c r="A130" s="1">
        <v>85503</v>
      </c>
      <c r="B130" s="1">
        <v>1037145</v>
      </c>
      <c r="C130" s="1" t="s">
        <v>110</v>
      </c>
      <c r="D130" s="1" t="s">
        <v>111</v>
      </c>
      <c r="E130" s="1" t="s">
        <v>635</v>
      </c>
      <c r="F130" s="12">
        <v>12.5</v>
      </c>
      <c r="G130" s="13">
        <v>27</v>
      </c>
      <c r="H130" s="13">
        <v>513.61</v>
      </c>
      <c r="K130" s="3">
        <v>36.99</v>
      </c>
      <c r="L130" s="3">
        <v>13.99</v>
      </c>
      <c r="N130" s="9">
        <v>35.99</v>
      </c>
      <c r="O130" s="9">
        <f t="shared" ref="O130:O161" si="12">N130*0.5</f>
        <v>17.995000000000001</v>
      </c>
      <c r="P130" s="10">
        <f t="shared" ref="P130:P161" si="13">(O130-L130)/L130</f>
        <v>0.28627591136526093</v>
      </c>
      <c r="Q130" s="10">
        <f t="shared" ref="Q130:Q161" si="14">(O130-F130)/F130</f>
        <v>0.4396000000000001</v>
      </c>
    </row>
    <row r="131" spans="1:17" hidden="1" x14ac:dyDescent="0.25">
      <c r="A131" s="1">
        <v>85504</v>
      </c>
      <c r="B131" s="1">
        <v>1215523</v>
      </c>
      <c r="C131" s="1" t="s">
        <v>333</v>
      </c>
      <c r="D131" s="1" t="s">
        <v>334</v>
      </c>
      <c r="E131" s="1" t="s">
        <v>623</v>
      </c>
      <c r="F131" s="12">
        <v>29</v>
      </c>
      <c r="G131" s="13">
        <v>0</v>
      </c>
      <c r="H131" s="13">
        <v>0</v>
      </c>
      <c r="K131" s="3">
        <v>69.989999999999995</v>
      </c>
      <c r="L131" s="16">
        <v>19.989999999999998</v>
      </c>
      <c r="N131" s="9">
        <v>66.989999999999995</v>
      </c>
      <c r="O131" s="9">
        <f t="shared" si="12"/>
        <v>33.494999999999997</v>
      </c>
      <c r="P131" s="10">
        <f t="shared" si="13"/>
        <v>0.67558779389694845</v>
      </c>
      <c r="Q131" s="10">
        <f t="shared" si="14"/>
        <v>0.15499999999999992</v>
      </c>
    </row>
    <row r="132" spans="1:17" hidden="1" x14ac:dyDescent="0.25">
      <c r="A132" s="1">
        <v>85504</v>
      </c>
      <c r="B132" s="1">
        <v>1215515</v>
      </c>
      <c r="C132" s="1" t="s">
        <v>337</v>
      </c>
      <c r="D132" s="1" t="s">
        <v>338</v>
      </c>
      <c r="E132" s="1" t="s">
        <v>606</v>
      </c>
      <c r="F132" s="12">
        <v>21.5</v>
      </c>
      <c r="G132" s="13">
        <v>0</v>
      </c>
      <c r="H132" s="13">
        <v>0</v>
      </c>
      <c r="K132" s="3">
        <v>49.99</v>
      </c>
      <c r="L132" s="16">
        <v>12.99</v>
      </c>
      <c r="N132" s="9">
        <v>47.99</v>
      </c>
      <c r="O132" s="9">
        <f t="shared" si="12"/>
        <v>23.995000000000001</v>
      </c>
      <c r="P132" s="10">
        <f t="shared" si="13"/>
        <v>0.8471901462663588</v>
      </c>
      <c r="Q132" s="10">
        <f t="shared" si="14"/>
        <v>0.11604651162790702</v>
      </c>
    </row>
    <row r="133" spans="1:17" hidden="1" x14ac:dyDescent="0.25">
      <c r="A133" s="1">
        <v>85504</v>
      </c>
      <c r="B133" s="1">
        <v>1215507</v>
      </c>
      <c r="C133" s="1" t="s">
        <v>347</v>
      </c>
      <c r="D133" s="1" t="s">
        <v>348</v>
      </c>
      <c r="E133" s="1" t="s">
        <v>615</v>
      </c>
      <c r="F133" s="12">
        <v>17.5</v>
      </c>
      <c r="G133" s="13">
        <v>8</v>
      </c>
      <c r="H133" s="13">
        <v>232.19</v>
      </c>
      <c r="K133" s="3">
        <v>39.99</v>
      </c>
      <c r="L133" s="16">
        <v>10.99</v>
      </c>
      <c r="N133" s="9">
        <v>38.99</v>
      </c>
      <c r="O133" s="9">
        <f t="shared" si="12"/>
        <v>19.495000000000001</v>
      </c>
      <c r="P133" s="10">
        <f t="shared" si="13"/>
        <v>0.77388535031847139</v>
      </c>
      <c r="Q133" s="10">
        <f t="shared" si="14"/>
        <v>0.11400000000000006</v>
      </c>
    </row>
    <row r="134" spans="1:17" hidden="1" x14ac:dyDescent="0.25">
      <c r="A134" s="1">
        <v>85504</v>
      </c>
      <c r="B134" s="1">
        <v>1215558</v>
      </c>
      <c r="C134" s="1" t="s">
        <v>349</v>
      </c>
      <c r="D134" s="1" t="s">
        <v>350</v>
      </c>
      <c r="E134" s="1" t="s">
        <v>625</v>
      </c>
      <c r="F134" s="12">
        <v>11.5</v>
      </c>
      <c r="G134" s="13">
        <v>0</v>
      </c>
      <c r="H134" s="13">
        <v>0</v>
      </c>
      <c r="K134" s="3">
        <v>39.99</v>
      </c>
      <c r="L134" s="16">
        <v>11.99</v>
      </c>
      <c r="N134" s="9">
        <f>K134*0.95</f>
        <v>37.990499999999997</v>
      </c>
      <c r="O134" s="9">
        <f t="shared" si="12"/>
        <v>18.995249999999999</v>
      </c>
      <c r="P134" s="10">
        <f t="shared" si="13"/>
        <v>0.58425771476230182</v>
      </c>
      <c r="Q134" s="10">
        <f t="shared" si="14"/>
        <v>0.65176086956521728</v>
      </c>
    </row>
    <row r="135" spans="1:17" hidden="1" x14ac:dyDescent="0.25">
      <c r="A135" s="1">
        <v>85504</v>
      </c>
      <c r="B135" s="1">
        <v>1215540</v>
      </c>
      <c r="C135" s="1" t="s">
        <v>351</v>
      </c>
      <c r="D135" s="1" t="s">
        <v>352</v>
      </c>
      <c r="E135" s="1" t="s">
        <v>641</v>
      </c>
      <c r="F135" s="12">
        <v>9.5</v>
      </c>
      <c r="G135" s="13">
        <v>0</v>
      </c>
      <c r="H135" s="13">
        <v>0</v>
      </c>
      <c r="K135" s="3">
        <v>29.99</v>
      </c>
      <c r="L135" s="16">
        <v>9.99</v>
      </c>
      <c r="N135" s="9">
        <v>28.99</v>
      </c>
      <c r="O135" s="9">
        <f t="shared" si="12"/>
        <v>14.494999999999999</v>
      </c>
      <c r="P135" s="10">
        <f t="shared" si="13"/>
        <v>0.45095095095095084</v>
      </c>
      <c r="Q135" s="10">
        <f t="shared" si="14"/>
        <v>0.52578947368421047</v>
      </c>
    </row>
    <row r="136" spans="1:17" hidden="1" x14ac:dyDescent="0.25">
      <c r="A136" s="1">
        <v>85504</v>
      </c>
      <c r="B136" s="1">
        <v>1215531</v>
      </c>
      <c r="C136" s="1" t="s">
        <v>353</v>
      </c>
      <c r="D136" s="1" t="s">
        <v>354</v>
      </c>
      <c r="E136" s="1" t="s">
        <v>611</v>
      </c>
      <c r="F136" s="13">
        <v>8</v>
      </c>
      <c r="G136" s="13">
        <v>0</v>
      </c>
      <c r="H136" s="13">
        <v>0</v>
      </c>
      <c r="I136" s="15">
        <v>42205</v>
      </c>
      <c r="K136" s="3">
        <v>26.99</v>
      </c>
      <c r="L136" s="16">
        <v>6.99</v>
      </c>
      <c r="N136" s="9">
        <v>25.99</v>
      </c>
      <c r="O136" s="9">
        <f t="shared" si="12"/>
        <v>12.994999999999999</v>
      </c>
      <c r="P136" s="10">
        <f t="shared" si="13"/>
        <v>0.8590844062947065</v>
      </c>
      <c r="Q136" s="10">
        <f t="shared" si="14"/>
        <v>0.6243749999999999</v>
      </c>
    </row>
    <row r="137" spans="1:17" hidden="1" x14ac:dyDescent="0.25">
      <c r="A137" s="1">
        <v>85504</v>
      </c>
      <c r="B137" s="1">
        <v>1033638</v>
      </c>
      <c r="C137" s="1" t="s">
        <v>355</v>
      </c>
      <c r="D137" s="1" t="s">
        <v>356</v>
      </c>
      <c r="E137" s="1" t="s">
        <v>612</v>
      </c>
      <c r="F137" s="12">
        <v>16.5</v>
      </c>
      <c r="G137" s="13">
        <v>15</v>
      </c>
      <c r="H137" s="13">
        <v>403.44</v>
      </c>
      <c r="K137" s="3">
        <v>29.99</v>
      </c>
      <c r="L137" s="16">
        <v>10.99</v>
      </c>
      <c r="N137" s="9">
        <v>29.99</v>
      </c>
      <c r="O137" s="9">
        <f t="shared" si="12"/>
        <v>14.994999999999999</v>
      </c>
      <c r="P137" s="10">
        <f t="shared" si="13"/>
        <v>0.36442220200181974</v>
      </c>
      <c r="Q137" s="10">
        <f t="shared" si="14"/>
        <v>-9.1212121212121258E-2</v>
      </c>
    </row>
    <row r="138" spans="1:17" hidden="1" x14ac:dyDescent="0.25">
      <c r="A138" s="1">
        <v>85503</v>
      </c>
      <c r="B138" s="1">
        <v>1397176</v>
      </c>
      <c r="C138" s="1" t="s">
        <v>120</v>
      </c>
      <c r="D138" s="1" t="s">
        <v>121</v>
      </c>
      <c r="E138" s="1" t="s">
        <v>642</v>
      </c>
      <c r="F138" s="13">
        <v>9</v>
      </c>
      <c r="G138" s="13">
        <v>30</v>
      </c>
      <c r="H138" s="13">
        <v>438.46</v>
      </c>
      <c r="I138" s="15">
        <v>42205</v>
      </c>
      <c r="K138" s="3">
        <v>19.989999999999998</v>
      </c>
      <c r="L138" s="16">
        <v>7.99</v>
      </c>
      <c r="N138" s="9">
        <f>K138*0.95</f>
        <v>18.990499999999997</v>
      </c>
      <c r="O138" s="9">
        <f t="shared" si="12"/>
        <v>9.4952499999999986</v>
      </c>
      <c r="P138" s="10">
        <f t="shared" si="13"/>
        <v>0.18839173967459305</v>
      </c>
      <c r="Q138" s="10">
        <f t="shared" si="14"/>
        <v>5.5027777777777627E-2</v>
      </c>
    </row>
    <row r="139" spans="1:17" hidden="1" x14ac:dyDescent="0.25">
      <c r="A139" s="1">
        <v>85503</v>
      </c>
      <c r="B139" s="1">
        <v>1397184</v>
      </c>
      <c r="C139" s="1" t="s">
        <v>134</v>
      </c>
      <c r="D139" s="1" t="s">
        <v>135</v>
      </c>
      <c r="E139" s="1" t="s">
        <v>626</v>
      </c>
      <c r="F139" s="12">
        <v>9.5</v>
      </c>
      <c r="G139" s="13">
        <v>25</v>
      </c>
      <c r="H139" s="13">
        <v>390.3</v>
      </c>
      <c r="K139" s="3">
        <v>23.99</v>
      </c>
      <c r="L139" s="16">
        <v>9.99</v>
      </c>
      <c r="N139" s="9">
        <v>22.99</v>
      </c>
      <c r="O139" s="9">
        <f t="shared" si="12"/>
        <v>11.494999999999999</v>
      </c>
      <c r="P139" s="10">
        <f t="shared" si="13"/>
        <v>0.15065065065065056</v>
      </c>
      <c r="Q139" s="10">
        <f t="shared" si="14"/>
        <v>0.20999999999999991</v>
      </c>
    </row>
    <row r="140" spans="1:17" hidden="1" x14ac:dyDescent="0.25">
      <c r="A140" s="1">
        <v>85503</v>
      </c>
      <c r="B140" s="1">
        <v>1397192</v>
      </c>
      <c r="C140" s="1" t="s">
        <v>158</v>
      </c>
      <c r="D140" s="1" t="s">
        <v>159</v>
      </c>
      <c r="E140" s="1" t="s">
        <v>643</v>
      </c>
      <c r="F140" s="12">
        <v>11.5</v>
      </c>
      <c r="G140" s="13">
        <v>12</v>
      </c>
      <c r="H140" s="13">
        <v>237.86</v>
      </c>
      <c r="K140" s="3">
        <v>26.99</v>
      </c>
      <c r="L140" s="16">
        <v>11.99</v>
      </c>
      <c r="N140" s="9">
        <v>25.99</v>
      </c>
      <c r="O140" s="9">
        <f t="shared" si="12"/>
        <v>12.994999999999999</v>
      </c>
      <c r="P140" s="10">
        <f t="shared" si="13"/>
        <v>8.3819849874895658E-2</v>
      </c>
      <c r="Q140" s="10">
        <f t="shared" si="14"/>
        <v>0.12999999999999992</v>
      </c>
    </row>
    <row r="141" spans="1:17" hidden="1" x14ac:dyDescent="0.25">
      <c r="A141" s="1">
        <v>85401</v>
      </c>
      <c r="B141" s="1">
        <v>1036947</v>
      </c>
      <c r="C141" s="1" t="s">
        <v>329</v>
      </c>
      <c r="D141" s="1" t="s">
        <v>330</v>
      </c>
      <c r="E141" s="1" t="s">
        <v>629</v>
      </c>
      <c r="F141" s="12">
        <v>45.5</v>
      </c>
      <c r="G141" s="13">
        <v>3</v>
      </c>
      <c r="H141" s="13">
        <v>218.37</v>
      </c>
      <c r="K141" s="16">
        <v>199.99</v>
      </c>
      <c r="L141" s="16">
        <v>42.5</v>
      </c>
      <c r="N141" s="9">
        <f>K141*0.95</f>
        <v>189.9905</v>
      </c>
      <c r="O141" s="9">
        <f t="shared" si="12"/>
        <v>94.995249999999999</v>
      </c>
      <c r="P141" s="10">
        <f t="shared" si="13"/>
        <v>1.2351823529411765</v>
      </c>
      <c r="Q141" s="10">
        <f t="shared" si="14"/>
        <v>1.0878076923076923</v>
      </c>
    </row>
    <row r="142" spans="1:17" hidden="1" x14ac:dyDescent="0.25">
      <c r="A142" s="1">
        <v>85401</v>
      </c>
      <c r="B142" s="1">
        <v>1036939</v>
      </c>
      <c r="C142" s="1" t="s">
        <v>357</v>
      </c>
      <c r="D142" s="1" t="s">
        <v>358</v>
      </c>
      <c r="E142" s="1" t="s">
        <v>630</v>
      </c>
      <c r="F142" s="12">
        <v>41</v>
      </c>
      <c r="G142" s="13">
        <v>0</v>
      </c>
      <c r="H142" s="13">
        <v>0</v>
      </c>
      <c r="K142" s="16">
        <v>149.99</v>
      </c>
      <c r="L142" s="16">
        <v>32.5</v>
      </c>
      <c r="N142" s="9">
        <v>144.99</v>
      </c>
      <c r="O142" s="9">
        <f t="shared" si="12"/>
        <v>72.495000000000005</v>
      </c>
      <c r="P142" s="10">
        <f t="shared" si="13"/>
        <v>1.2306153846153847</v>
      </c>
      <c r="Q142" s="10">
        <f t="shared" si="14"/>
        <v>0.7681707317073172</v>
      </c>
    </row>
    <row r="143" spans="1:17" hidden="1" x14ac:dyDescent="0.25">
      <c r="A143" s="1">
        <v>85401</v>
      </c>
      <c r="B143" s="1">
        <v>1036920</v>
      </c>
      <c r="C143" s="1" t="s">
        <v>359</v>
      </c>
      <c r="D143" s="1" t="s">
        <v>360</v>
      </c>
      <c r="E143" s="1" t="s">
        <v>644</v>
      </c>
      <c r="F143" s="12">
        <v>37</v>
      </c>
      <c r="G143" s="13">
        <v>0</v>
      </c>
      <c r="H143" s="13">
        <v>0</v>
      </c>
      <c r="K143" s="3">
        <v>99.99</v>
      </c>
      <c r="L143" s="16">
        <v>24.5</v>
      </c>
      <c r="N143" s="9">
        <f>K143*0.95</f>
        <v>94.990499999999997</v>
      </c>
      <c r="O143" s="9">
        <f t="shared" si="12"/>
        <v>47.495249999999999</v>
      </c>
      <c r="P143" s="10">
        <f t="shared" si="13"/>
        <v>0.93858163265306116</v>
      </c>
      <c r="Q143" s="10">
        <f t="shared" si="14"/>
        <v>0.28365540540540535</v>
      </c>
    </row>
    <row r="144" spans="1:17" hidden="1" x14ac:dyDescent="0.25">
      <c r="A144" s="1">
        <v>85600</v>
      </c>
      <c r="B144" s="1">
        <v>1326686</v>
      </c>
      <c r="C144" s="1" t="s">
        <v>232</v>
      </c>
      <c r="D144" s="1" t="s">
        <v>233</v>
      </c>
      <c r="E144" s="1" t="s">
        <v>635</v>
      </c>
      <c r="F144" s="12">
        <v>7.5</v>
      </c>
      <c r="G144" s="13">
        <v>16</v>
      </c>
      <c r="H144" s="13">
        <v>207.69</v>
      </c>
      <c r="K144" s="3">
        <v>21.99</v>
      </c>
      <c r="L144" s="16">
        <v>14.95</v>
      </c>
      <c r="N144" s="9">
        <v>19.989999999999998</v>
      </c>
      <c r="O144" s="9">
        <f t="shared" si="12"/>
        <v>9.9949999999999992</v>
      </c>
      <c r="P144" s="10">
        <f t="shared" si="13"/>
        <v>-0.33143812709030102</v>
      </c>
      <c r="Q144" s="10">
        <f t="shared" si="14"/>
        <v>0.33266666666666656</v>
      </c>
    </row>
    <row r="145" spans="1:17" hidden="1" x14ac:dyDescent="0.25">
      <c r="A145" s="1">
        <v>85503</v>
      </c>
      <c r="B145" s="1">
        <v>1307070</v>
      </c>
      <c r="C145" s="1" t="s">
        <v>178</v>
      </c>
      <c r="D145" s="1" t="s">
        <v>179</v>
      </c>
      <c r="E145" s="1" t="s">
        <v>610</v>
      </c>
      <c r="F145" s="12">
        <v>9.5</v>
      </c>
      <c r="G145" s="13">
        <v>45</v>
      </c>
      <c r="H145" s="13">
        <v>667.16</v>
      </c>
      <c r="K145" s="3">
        <v>29.99</v>
      </c>
      <c r="L145" s="16">
        <v>6.95</v>
      </c>
      <c r="N145" s="9">
        <f>K145*0.95</f>
        <v>28.490499999999997</v>
      </c>
      <c r="O145" s="9">
        <f t="shared" si="12"/>
        <v>14.245249999999999</v>
      </c>
      <c r="P145" s="10">
        <f t="shared" si="13"/>
        <v>1.0496762589928055</v>
      </c>
      <c r="Q145" s="10">
        <f t="shared" si="14"/>
        <v>0.49949999999999983</v>
      </c>
    </row>
    <row r="146" spans="1:17" hidden="1" x14ac:dyDescent="0.25">
      <c r="A146" s="1">
        <v>85600</v>
      </c>
      <c r="B146" s="1">
        <v>1033247</v>
      </c>
      <c r="C146" s="1" t="s">
        <v>238</v>
      </c>
      <c r="D146" s="1" t="s">
        <v>239</v>
      </c>
      <c r="E146" s="1" t="s">
        <v>645</v>
      </c>
      <c r="F146" s="13">
        <v>28</v>
      </c>
      <c r="G146" s="13">
        <v>4</v>
      </c>
      <c r="H146" s="13">
        <v>170.97</v>
      </c>
      <c r="I146" s="15">
        <v>42242</v>
      </c>
      <c r="K146" s="3">
        <v>58.99</v>
      </c>
      <c r="L146" s="3">
        <v>11.99</v>
      </c>
      <c r="N146" s="9">
        <v>56.99</v>
      </c>
      <c r="O146" s="9">
        <f t="shared" si="12"/>
        <v>28.495000000000001</v>
      </c>
      <c r="P146" s="10">
        <f t="shared" si="13"/>
        <v>1.3765638031693079</v>
      </c>
      <c r="Q146" s="10">
        <f t="shared" si="14"/>
        <v>1.7678571428571464E-2</v>
      </c>
    </row>
    <row r="147" spans="1:17" hidden="1" x14ac:dyDescent="0.25">
      <c r="A147" s="1">
        <v>85600</v>
      </c>
      <c r="B147" s="1">
        <v>1033239</v>
      </c>
      <c r="C147" s="1" t="s">
        <v>252</v>
      </c>
      <c r="D147" s="1" t="s">
        <v>253</v>
      </c>
      <c r="E147" s="1" t="s">
        <v>646</v>
      </c>
      <c r="F147" s="13">
        <v>14.25</v>
      </c>
      <c r="G147" s="13">
        <v>15</v>
      </c>
      <c r="H147" s="13">
        <v>313.98</v>
      </c>
      <c r="I147" s="15">
        <v>42242</v>
      </c>
      <c r="K147" s="3">
        <v>29.99</v>
      </c>
      <c r="L147" s="16">
        <v>9.99</v>
      </c>
      <c r="N147" s="9">
        <v>28.99</v>
      </c>
      <c r="O147" s="9">
        <f t="shared" si="12"/>
        <v>14.494999999999999</v>
      </c>
      <c r="P147" s="10">
        <f t="shared" si="13"/>
        <v>0.45095095095095084</v>
      </c>
      <c r="Q147" s="10">
        <f t="shared" si="14"/>
        <v>1.7192982456140295E-2</v>
      </c>
    </row>
    <row r="148" spans="1:17" hidden="1" x14ac:dyDescent="0.25">
      <c r="A148" s="1">
        <v>85600</v>
      </c>
      <c r="B148" s="1">
        <v>1033220</v>
      </c>
      <c r="C148" s="1" t="s">
        <v>274</v>
      </c>
      <c r="D148" s="1" t="s">
        <v>275</v>
      </c>
      <c r="E148" s="1" t="s">
        <v>617</v>
      </c>
      <c r="F148" s="13">
        <v>10.5</v>
      </c>
      <c r="G148" s="13">
        <v>40</v>
      </c>
      <c r="H148" s="13">
        <v>621.04999999999995</v>
      </c>
      <c r="I148" s="15">
        <v>42242</v>
      </c>
      <c r="K148" s="3">
        <v>21.99</v>
      </c>
      <c r="L148" s="16">
        <v>6.99</v>
      </c>
      <c r="N148" s="9">
        <v>21.99</v>
      </c>
      <c r="O148" s="9">
        <f t="shared" si="12"/>
        <v>10.994999999999999</v>
      </c>
      <c r="P148" s="10">
        <f t="shared" si="13"/>
        <v>0.57296137339055775</v>
      </c>
      <c r="Q148" s="10">
        <f t="shared" si="14"/>
        <v>4.714285714285707E-2</v>
      </c>
    </row>
    <row r="149" spans="1:17" hidden="1" x14ac:dyDescent="0.25">
      <c r="A149" s="1">
        <v>85503</v>
      </c>
      <c r="B149" s="1">
        <v>1037129</v>
      </c>
      <c r="C149" s="1" t="s">
        <v>234</v>
      </c>
      <c r="D149" s="1" t="s">
        <v>235</v>
      </c>
      <c r="E149" s="1" t="s">
        <v>598</v>
      </c>
      <c r="F149" s="12">
        <v>13.75</v>
      </c>
      <c r="G149" s="13">
        <v>5</v>
      </c>
      <c r="H149" s="13">
        <v>98.47</v>
      </c>
      <c r="K149" s="3">
        <v>29.99</v>
      </c>
      <c r="L149" s="16">
        <v>9.99</v>
      </c>
      <c r="N149" s="9">
        <v>28.99</v>
      </c>
      <c r="O149" s="9">
        <f t="shared" si="12"/>
        <v>14.494999999999999</v>
      </c>
      <c r="P149" s="10">
        <f t="shared" si="13"/>
        <v>0.45095095095095084</v>
      </c>
      <c r="Q149" s="10">
        <f t="shared" si="14"/>
        <v>5.4181818181818123E-2</v>
      </c>
    </row>
    <row r="150" spans="1:17" hidden="1" x14ac:dyDescent="0.25">
      <c r="A150" s="1">
        <v>85503</v>
      </c>
      <c r="B150" s="1">
        <v>1037110</v>
      </c>
      <c r="C150" s="1" t="s">
        <v>236</v>
      </c>
      <c r="D150" s="1" t="s">
        <v>237</v>
      </c>
      <c r="E150" s="1" t="s">
        <v>612</v>
      </c>
      <c r="F150" s="12">
        <v>9.5</v>
      </c>
      <c r="G150" s="13">
        <v>31</v>
      </c>
      <c r="H150" s="13">
        <v>447.47</v>
      </c>
      <c r="K150" s="3">
        <v>24.99</v>
      </c>
      <c r="L150" s="3">
        <v>6.99</v>
      </c>
      <c r="N150" s="9">
        <v>23.99</v>
      </c>
      <c r="O150" s="9">
        <f t="shared" si="12"/>
        <v>11.994999999999999</v>
      </c>
      <c r="P150" s="10">
        <f t="shared" si="13"/>
        <v>0.71602288984263218</v>
      </c>
      <c r="Q150" s="10">
        <f t="shared" si="14"/>
        <v>0.26263157894736833</v>
      </c>
    </row>
    <row r="151" spans="1:17" hidden="1" x14ac:dyDescent="0.25">
      <c r="A151" s="1">
        <v>85503</v>
      </c>
      <c r="B151" s="1">
        <v>1037102</v>
      </c>
      <c r="C151" s="1" t="s">
        <v>270</v>
      </c>
      <c r="D151" s="1" t="s">
        <v>271</v>
      </c>
      <c r="E151" s="1" t="s">
        <v>628</v>
      </c>
      <c r="F151" s="12">
        <v>7.5</v>
      </c>
      <c r="G151" s="13">
        <v>9</v>
      </c>
      <c r="H151" s="13">
        <v>108.81</v>
      </c>
      <c r="K151" s="3">
        <v>17.989999999999998</v>
      </c>
      <c r="L151" s="3">
        <v>6.5</v>
      </c>
      <c r="N151" s="9">
        <v>16.989999999999998</v>
      </c>
      <c r="O151" s="9">
        <f t="shared" si="12"/>
        <v>8.4949999999999992</v>
      </c>
      <c r="P151" s="10">
        <f t="shared" si="13"/>
        <v>0.3069230769230768</v>
      </c>
      <c r="Q151" s="10">
        <f t="shared" si="14"/>
        <v>0.13266666666666657</v>
      </c>
    </row>
    <row r="152" spans="1:17" hidden="1" x14ac:dyDescent="0.25">
      <c r="A152" s="1">
        <v>85501</v>
      </c>
      <c r="B152" s="1">
        <v>1372467</v>
      </c>
      <c r="C152" s="1" t="s">
        <v>302</v>
      </c>
      <c r="D152" s="1" t="s">
        <v>303</v>
      </c>
      <c r="E152" s="1" t="s">
        <v>647</v>
      </c>
      <c r="F152" s="12">
        <v>19</v>
      </c>
      <c r="G152" s="13">
        <v>8</v>
      </c>
      <c r="H152" s="13">
        <v>221.43</v>
      </c>
      <c r="K152" s="3">
        <v>39.99</v>
      </c>
      <c r="L152" s="16">
        <v>10.99</v>
      </c>
      <c r="N152" s="9">
        <f>K152*0.95</f>
        <v>37.990499999999997</v>
      </c>
      <c r="O152" s="9">
        <f t="shared" si="12"/>
        <v>18.995249999999999</v>
      </c>
      <c r="P152" s="10">
        <f t="shared" si="13"/>
        <v>0.72841219290263859</v>
      </c>
      <c r="Q152" s="10">
        <f t="shared" si="14"/>
        <v>-2.5000000000007178E-4</v>
      </c>
    </row>
    <row r="153" spans="1:17" hidden="1" x14ac:dyDescent="0.25">
      <c r="A153" s="1">
        <v>85501</v>
      </c>
      <c r="B153" s="1">
        <v>1372475</v>
      </c>
      <c r="C153" s="1" t="s">
        <v>317</v>
      </c>
      <c r="D153" s="1" t="s">
        <v>318</v>
      </c>
      <c r="E153" s="1" t="s">
        <v>648</v>
      </c>
      <c r="F153" s="12">
        <v>28.5</v>
      </c>
      <c r="G153" s="13">
        <v>10</v>
      </c>
      <c r="H153" s="13">
        <v>432.82</v>
      </c>
      <c r="K153" s="3">
        <v>59.99</v>
      </c>
      <c r="L153" s="16">
        <v>16.989999999999998</v>
      </c>
      <c r="N153" s="9">
        <v>57.99</v>
      </c>
      <c r="O153" s="9">
        <f t="shared" si="12"/>
        <v>28.995000000000001</v>
      </c>
      <c r="P153" s="10">
        <f t="shared" si="13"/>
        <v>0.70659211300765179</v>
      </c>
      <c r="Q153" s="10">
        <f t="shared" si="14"/>
        <v>1.7368421052631613E-2</v>
      </c>
    </row>
    <row r="154" spans="1:17" hidden="1" x14ac:dyDescent="0.25">
      <c r="A154" s="1">
        <v>85502</v>
      </c>
      <c r="B154" s="1">
        <v>1036998</v>
      </c>
      <c r="C154" s="1" t="s">
        <v>27</v>
      </c>
      <c r="D154" s="1" t="s">
        <v>28</v>
      </c>
      <c r="E154" s="1" t="s">
        <v>616</v>
      </c>
      <c r="F154" s="13">
        <v>6.5</v>
      </c>
      <c r="G154" s="13">
        <v>108</v>
      </c>
      <c r="H154" s="14">
        <v>1031.6099999999999</v>
      </c>
      <c r="I154" s="15">
        <v>42205</v>
      </c>
      <c r="K154" s="3">
        <v>11.99</v>
      </c>
      <c r="L154" s="16">
        <v>3.99</v>
      </c>
      <c r="N154" s="9">
        <v>11.99</v>
      </c>
      <c r="O154" s="9">
        <f t="shared" si="12"/>
        <v>5.9950000000000001</v>
      </c>
      <c r="P154" s="10">
        <f t="shared" si="13"/>
        <v>0.50250626566416035</v>
      </c>
      <c r="Q154" s="10">
        <f t="shared" si="14"/>
        <v>-7.7692307692307672E-2</v>
      </c>
    </row>
    <row r="155" spans="1:17" hidden="1" x14ac:dyDescent="0.25">
      <c r="A155" s="1">
        <v>85200</v>
      </c>
      <c r="B155" s="1">
        <v>1326562</v>
      </c>
      <c r="C155" s="1" t="s">
        <v>44</v>
      </c>
      <c r="D155" s="1" t="s">
        <v>45</v>
      </c>
      <c r="E155" s="1" t="s">
        <v>603</v>
      </c>
      <c r="F155" s="12">
        <v>3.75</v>
      </c>
      <c r="G155" s="13">
        <v>62</v>
      </c>
      <c r="H155" s="13">
        <v>367.54</v>
      </c>
      <c r="K155" s="3">
        <v>11.99</v>
      </c>
      <c r="L155" s="16">
        <v>1.95</v>
      </c>
      <c r="N155" s="9">
        <v>10.99</v>
      </c>
      <c r="O155" s="9">
        <f t="shared" si="12"/>
        <v>5.4950000000000001</v>
      </c>
      <c r="P155" s="10">
        <f t="shared" si="13"/>
        <v>1.8179487179487179</v>
      </c>
      <c r="Q155" s="10">
        <f t="shared" si="14"/>
        <v>0.46533333333333338</v>
      </c>
    </row>
    <row r="156" spans="1:17" hidden="1" x14ac:dyDescent="0.25">
      <c r="A156" s="1">
        <v>85600</v>
      </c>
      <c r="B156" s="1">
        <v>1033271</v>
      </c>
      <c r="C156" s="1" t="s">
        <v>280</v>
      </c>
      <c r="D156" s="1" t="s">
        <v>281</v>
      </c>
      <c r="E156" s="1" t="s">
        <v>649</v>
      </c>
      <c r="F156" s="13">
        <v>90</v>
      </c>
      <c r="G156" s="13">
        <v>1</v>
      </c>
      <c r="H156" s="13">
        <v>129.99</v>
      </c>
      <c r="I156" s="15">
        <v>42242</v>
      </c>
      <c r="K156" s="16">
        <v>229.99</v>
      </c>
      <c r="L156" s="16">
        <v>89.99</v>
      </c>
      <c r="N156" s="9">
        <v>229.99</v>
      </c>
      <c r="O156" s="9">
        <f t="shared" si="12"/>
        <v>114.995</v>
      </c>
      <c r="P156" s="10">
        <f t="shared" si="13"/>
        <v>0.27786420713412613</v>
      </c>
      <c r="Q156" s="10">
        <f t="shared" si="14"/>
        <v>0.27772222222222226</v>
      </c>
    </row>
    <row r="157" spans="1:17" hidden="1" x14ac:dyDescent="0.25">
      <c r="A157" s="1">
        <v>85600</v>
      </c>
      <c r="B157" s="1">
        <v>1033263</v>
      </c>
      <c r="C157" s="1" t="s">
        <v>298</v>
      </c>
      <c r="D157" s="1" t="s">
        <v>299</v>
      </c>
      <c r="E157" s="1" t="s">
        <v>650</v>
      </c>
      <c r="F157" s="13">
        <v>80</v>
      </c>
      <c r="G157" s="13">
        <v>2</v>
      </c>
      <c r="H157" s="13">
        <v>231.98</v>
      </c>
      <c r="I157" s="15">
        <v>42242</v>
      </c>
      <c r="K157" s="16">
        <v>144.99</v>
      </c>
      <c r="L157" s="16">
        <v>64.989999999999995</v>
      </c>
      <c r="N157" s="9">
        <v>179.99</v>
      </c>
      <c r="O157" s="9">
        <f t="shared" si="12"/>
        <v>89.995000000000005</v>
      </c>
      <c r="P157" s="10">
        <f t="shared" si="13"/>
        <v>0.3847515002308049</v>
      </c>
      <c r="Q157" s="10">
        <f t="shared" si="14"/>
        <v>0.12493750000000006</v>
      </c>
    </row>
    <row r="158" spans="1:17" hidden="1" x14ac:dyDescent="0.25">
      <c r="A158" s="1">
        <v>85600</v>
      </c>
      <c r="B158" s="1">
        <v>1033255</v>
      </c>
      <c r="C158" s="1" t="s">
        <v>306</v>
      </c>
      <c r="D158" s="1" t="s">
        <v>307</v>
      </c>
      <c r="E158" s="1" t="s">
        <v>646</v>
      </c>
      <c r="F158" s="13">
        <v>67.5</v>
      </c>
      <c r="G158" s="13">
        <v>3</v>
      </c>
      <c r="H158" s="13">
        <v>279.48</v>
      </c>
      <c r="I158" s="15">
        <v>42242</v>
      </c>
      <c r="K158" s="16">
        <v>114.99</v>
      </c>
      <c r="L158" s="16">
        <v>59.99</v>
      </c>
      <c r="N158" s="9">
        <v>139.99</v>
      </c>
      <c r="O158" s="9">
        <f t="shared" si="12"/>
        <v>69.995000000000005</v>
      </c>
      <c r="P158" s="10">
        <f t="shared" si="13"/>
        <v>0.16677779629938327</v>
      </c>
      <c r="Q158" s="10">
        <f t="shared" si="14"/>
        <v>3.6962962962963031E-2</v>
      </c>
    </row>
    <row r="159" spans="1:17" hidden="1" x14ac:dyDescent="0.25">
      <c r="A159" s="1">
        <v>85601</v>
      </c>
      <c r="B159" s="1">
        <v>1215310</v>
      </c>
      <c r="C159" s="1" t="s">
        <v>210</v>
      </c>
      <c r="D159" s="1" t="s">
        <v>211</v>
      </c>
      <c r="E159" s="1" t="s">
        <v>618</v>
      </c>
      <c r="F159" s="12">
        <v>19</v>
      </c>
      <c r="G159" s="13">
        <v>10</v>
      </c>
      <c r="H159" s="13">
        <v>289.69</v>
      </c>
      <c r="K159" s="3">
        <v>44.99</v>
      </c>
      <c r="L159" s="16">
        <v>14.99</v>
      </c>
      <c r="N159" s="9">
        <v>42.99</v>
      </c>
      <c r="O159" s="9">
        <f t="shared" si="12"/>
        <v>21.495000000000001</v>
      </c>
      <c r="P159" s="10">
        <f t="shared" si="13"/>
        <v>0.43395597064709812</v>
      </c>
      <c r="Q159" s="10">
        <f t="shared" si="14"/>
        <v>0.13131578947368427</v>
      </c>
    </row>
    <row r="160" spans="1:17" hidden="1" x14ac:dyDescent="0.25">
      <c r="A160" s="1">
        <v>85601</v>
      </c>
      <c r="B160" s="1">
        <v>1215302</v>
      </c>
      <c r="C160" s="1" t="s">
        <v>258</v>
      </c>
      <c r="D160" s="1" t="s">
        <v>259</v>
      </c>
      <c r="E160" s="1" t="s">
        <v>599</v>
      </c>
      <c r="F160" s="12">
        <v>11.5</v>
      </c>
      <c r="G160" s="13">
        <v>7</v>
      </c>
      <c r="H160" s="13">
        <v>112.32</v>
      </c>
      <c r="K160" s="3">
        <v>24.99</v>
      </c>
      <c r="L160" s="3">
        <v>11.99</v>
      </c>
      <c r="N160" s="9">
        <v>23.99</v>
      </c>
      <c r="O160" s="9">
        <f t="shared" si="12"/>
        <v>11.994999999999999</v>
      </c>
      <c r="P160" s="10">
        <f t="shared" si="13"/>
        <v>4.1701417848198543E-4</v>
      </c>
      <c r="Q160" s="10">
        <f t="shared" si="14"/>
        <v>4.3043478260869496E-2</v>
      </c>
    </row>
    <row r="161" spans="1:17" hidden="1" x14ac:dyDescent="0.25">
      <c r="A161" s="1">
        <v>85601</v>
      </c>
      <c r="B161" s="1">
        <v>1215299</v>
      </c>
      <c r="C161" s="1" t="s">
        <v>331</v>
      </c>
      <c r="D161" s="1" t="s">
        <v>332</v>
      </c>
      <c r="E161" s="1" t="s">
        <v>635</v>
      </c>
      <c r="F161" s="12">
        <v>9.5</v>
      </c>
      <c r="G161" s="13">
        <v>20</v>
      </c>
      <c r="H161" s="13">
        <v>279.04000000000002</v>
      </c>
      <c r="K161" s="3">
        <v>19.989999999999998</v>
      </c>
      <c r="L161" s="3">
        <v>9.99</v>
      </c>
      <c r="N161" s="9">
        <v>19.989999999999998</v>
      </c>
      <c r="O161" s="9">
        <f t="shared" si="12"/>
        <v>9.9949999999999992</v>
      </c>
      <c r="P161" s="10">
        <f t="shared" si="13"/>
        <v>5.0050050050040097E-4</v>
      </c>
      <c r="Q161" s="10">
        <f t="shared" si="14"/>
        <v>5.2105263157894655E-2</v>
      </c>
    </row>
    <row r="162" spans="1:17" hidden="1" x14ac:dyDescent="0.25">
      <c r="A162" s="1">
        <v>85300</v>
      </c>
      <c r="B162" s="1">
        <v>1038320</v>
      </c>
      <c r="C162" s="1" t="s">
        <v>282</v>
      </c>
      <c r="D162" s="1" t="s">
        <v>283</v>
      </c>
      <c r="E162" s="1" t="s">
        <v>651</v>
      </c>
      <c r="F162" s="12">
        <v>95</v>
      </c>
      <c r="G162" s="13">
        <v>0</v>
      </c>
      <c r="H162" s="13">
        <v>0</v>
      </c>
      <c r="K162" s="3">
        <v>199.99</v>
      </c>
      <c r="L162" s="3">
        <v>49.99</v>
      </c>
      <c r="N162" s="9">
        <f>K162*0.95</f>
        <v>189.9905</v>
      </c>
      <c r="O162" s="9">
        <f t="shared" ref="O162:O174" si="15">N162*0.5</f>
        <v>94.995249999999999</v>
      </c>
      <c r="P162" s="10">
        <f t="shared" ref="P162:P174" si="16">(O162-L162)/L162</f>
        <v>0.90028505701140216</v>
      </c>
      <c r="Q162" s="10">
        <f t="shared" ref="Q162:Q174" si="17">(O162-F162)/F162</f>
        <v>-5.0000000000014361E-5</v>
      </c>
    </row>
    <row r="163" spans="1:17" hidden="1" x14ac:dyDescent="0.25">
      <c r="A163" s="1">
        <v>85300</v>
      </c>
      <c r="B163" s="1">
        <v>1038311</v>
      </c>
      <c r="C163" s="1" t="s">
        <v>288</v>
      </c>
      <c r="D163" s="1" t="s">
        <v>289</v>
      </c>
      <c r="E163" s="1" t="s">
        <v>639</v>
      </c>
      <c r="F163" s="12">
        <v>50</v>
      </c>
      <c r="G163" s="13">
        <v>1</v>
      </c>
      <c r="H163" s="13">
        <v>97.08</v>
      </c>
      <c r="K163" s="3">
        <v>109.99</v>
      </c>
      <c r="L163" s="3">
        <v>17.989999999999998</v>
      </c>
      <c r="N163" s="9">
        <f>K163*0.95</f>
        <v>104.4905</v>
      </c>
      <c r="O163" s="9">
        <f t="shared" si="15"/>
        <v>52.245249999999999</v>
      </c>
      <c r="P163" s="10">
        <f t="shared" si="16"/>
        <v>1.9041272929405229</v>
      </c>
      <c r="Q163" s="10">
        <f t="shared" si="17"/>
        <v>4.4904999999999973E-2</v>
      </c>
    </row>
    <row r="164" spans="1:17" hidden="1" x14ac:dyDescent="0.25">
      <c r="A164" s="1">
        <v>85300</v>
      </c>
      <c r="B164" s="1">
        <v>1038303</v>
      </c>
      <c r="C164" s="1" t="s">
        <v>296</v>
      </c>
      <c r="D164" s="1" t="s">
        <v>297</v>
      </c>
      <c r="E164" s="1" t="s">
        <v>615</v>
      </c>
      <c r="F164" s="12">
        <v>32</v>
      </c>
      <c r="G164" s="13">
        <v>3</v>
      </c>
      <c r="H164" s="13">
        <v>90.42</v>
      </c>
      <c r="K164" s="3">
        <v>69.989999999999995</v>
      </c>
      <c r="L164" s="16">
        <v>11.99</v>
      </c>
      <c r="N164" s="9">
        <f>K164*0.95</f>
        <v>66.490499999999997</v>
      </c>
      <c r="O164" s="9">
        <f t="shared" si="15"/>
        <v>33.245249999999999</v>
      </c>
      <c r="P164" s="10">
        <f t="shared" si="16"/>
        <v>1.7727481234361966</v>
      </c>
      <c r="Q164" s="10">
        <f t="shared" si="17"/>
        <v>3.8914062499999957E-2</v>
      </c>
    </row>
    <row r="165" spans="1:17" hidden="1" x14ac:dyDescent="0.25">
      <c r="A165" s="1">
        <v>85600</v>
      </c>
      <c r="B165" s="1">
        <v>1033301</v>
      </c>
      <c r="C165" s="1" t="s">
        <v>321</v>
      </c>
      <c r="D165" s="1" t="s">
        <v>322</v>
      </c>
      <c r="E165" s="1" t="s">
        <v>652</v>
      </c>
      <c r="F165" s="13">
        <v>42.5</v>
      </c>
      <c r="G165" s="13">
        <v>5</v>
      </c>
      <c r="H165" s="13">
        <v>328.85</v>
      </c>
      <c r="I165" s="15">
        <v>42242</v>
      </c>
      <c r="K165" s="3">
        <v>69.989999999999995</v>
      </c>
      <c r="L165" s="16">
        <v>32.99</v>
      </c>
      <c r="N165" s="9">
        <v>69.989999999999995</v>
      </c>
      <c r="O165" s="9">
        <f t="shared" si="15"/>
        <v>34.994999999999997</v>
      </c>
      <c r="P165" s="10">
        <f t="shared" si="16"/>
        <v>6.0775992725068062E-2</v>
      </c>
      <c r="Q165" s="10">
        <f t="shared" si="17"/>
        <v>-0.17658823529411771</v>
      </c>
    </row>
    <row r="166" spans="1:17" hidden="1" x14ac:dyDescent="0.25">
      <c r="A166" s="1">
        <v>85600</v>
      </c>
      <c r="B166" s="1">
        <v>1033298</v>
      </c>
      <c r="C166" s="1" t="s">
        <v>335</v>
      </c>
      <c r="D166" s="1" t="s">
        <v>336</v>
      </c>
      <c r="E166" s="1" t="s">
        <v>653</v>
      </c>
      <c r="F166" s="13">
        <v>23.5</v>
      </c>
      <c r="G166" s="13">
        <v>20</v>
      </c>
      <c r="H166" s="13">
        <v>722.34</v>
      </c>
      <c r="I166" s="15">
        <v>42242</v>
      </c>
      <c r="K166" s="3">
        <v>49.99</v>
      </c>
      <c r="L166" s="16">
        <v>19.989999999999998</v>
      </c>
      <c r="N166" s="9">
        <v>49.99</v>
      </c>
      <c r="O166" s="9">
        <f t="shared" si="15"/>
        <v>24.995000000000001</v>
      </c>
      <c r="P166" s="10">
        <f t="shared" si="16"/>
        <v>0.25037518759379707</v>
      </c>
      <c r="Q166" s="10">
        <f t="shared" si="17"/>
        <v>6.3617021276595784E-2</v>
      </c>
    </row>
    <row r="167" spans="1:17" hidden="1" x14ac:dyDescent="0.25">
      <c r="A167" s="1">
        <v>85600</v>
      </c>
      <c r="B167" s="1">
        <v>1033280</v>
      </c>
      <c r="C167" s="1" t="s">
        <v>341</v>
      </c>
      <c r="D167" s="1" t="s">
        <v>342</v>
      </c>
      <c r="E167" s="1" t="s">
        <v>615</v>
      </c>
      <c r="F167" s="13">
        <v>19</v>
      </c>
      <c r="G167" s="13">
        <v>18</v>
      </c>
      <c r="H167" s="13">
        <v>519.59</v>
      </c>
      <c r="I167" s="15">
        <v>42242</v>
      </c>
      <c r="K167" s="3">
        <v>39.99</v>
      </c>
      <c r="L167" s="16">
        <v>13.99</v>
      </c>
      <c r="N167" s="9">
        <v>39.99</v>
      </c>
      <c r="O167" s="9">
        <f t="shared" si="15"/>
        <v>19.995000000000001</v>
      </c>
      <c r="P167" s="10">
        <f t="shared" si="16"/>
        <v>0.42923516797712657</v>
      </c>
      <c r="Q167" s="10">
        <f t="shared" si="17"/>
        <v>5.2368421052631633E-2</v>
      </c>
    </row>
    <row r="168" spans="1:17" hidden="1" x14ac:dyDescent="0.25">
      <c r="A168" s="1">
        <v>85300</v>
      </c>
      <c r="B168" s="1">
        <v>1033468</v>
      </c>
      <c r="C168" s="1" t="s">
        <v>304</v>
      </c>
      <c r="D168" s="1" t="s">
        <v>305</v>
      </c>
      <c r="E168" s="1" t="s">
        <v>654</v>
      </c>
      <c r="F168" s="13">
        <v>23.75</v>
      </c>
      <c r="G168" s="13">
        <v>8</v>
      </c>
      <c r="H168" s="13">
        <v>283.74</v>
      </c>
      <c r="I168" s="15">
        <v>42242</v>
      </c>
      <c r="K168" s="3">
        <v>79.989999999999995</v>
      </c>
      <c r="L168" s="3">
        <v>19.989999999999998</v>
      </c>
      <c r="N168" s="9">
        <f>K168*0.95</f>
        <v>75.990499999999997</v>
      </c>
      <c r="O168" s="9">
        <f t="shared" si="15"/>
        <v>37.995249999999999</v>
      </c>
      <c r="P168" s="10">
        <f t="shared" si="16"/>
        <v>0.90071285642821419</v>
      </c>
      <c r="Q168" s="10">
        <f t="shared" si="17"/>
        <v>0.59979999999999989</v>
      </c>
    </row>
    <row r="169" spans="1:17" hidden="1" x14ac:dyDescent="0.25">
      <c r="A169" s="1">
        <v>85300</v>
      </c>
      <c r="B169" s="1">
        <v>1033450</v>
      </c>
      <c r="C169" s="1" t="s">
        <v>308</v>
      </c>
      <c r="D169" s="1" t="s">
        <v>309</v>
      </c>
      <c r="E169" s="1" t="s">
        <v>607</v>
      </c>
      <c r="F169" s="13">
        <v>19</v>
      </c>
      <c r="G169" s="13">
        <v>161</v>
      </c>
      <c r="H169" s="14">
        <v>4629.53</v>
      </c>
      <c r="I169" s="15">
        <v>42242</v>
      </c>
      <c r="K169" s="3">
        <v>39.99</v>
      </c>
      <c r="L169" s="3">
        <v>17.989999999999998</v>
      </c>
      <c r="N169" s="9">
        <f>K169*0.95</f>
        <v>37.990499999999997</v>
      </c>
      <c r="O169" s="9">
        <f t="shared" si="15"/>
        <v>18.995249999999999</v>
      </c>
      <c r="P169" s="10">
        <f t="shared" si="16"/>
        <v>5.5878265703168443E-2</v>
      </c>
      <c r="Q169" s="10">
        <f t="shared" si="17"/>
        <v>-2.5000000000007178E-4</v>
      </c>
    </row>
    <row r="170" spans="1:17" hidden="1" x14ac:dyDescent="0.25">
      <c r="A170" s="1">
        <v>85300</v>
      </c>
      <c r="B170" s="1">
        <v>1033441</v>
      </c>
      <c r="C170" s="1" t="s">
        <v>310</v>
      </c>
      <c r="D170" s="1" t="s">
        <v>311</v>
      </c>
      <c r="E170" s="1" t="s">
        <v>612</v>
      </c>
      <c r="F170" s="13">
        <v>15.5</v>
      </c>
      <c r="G170" s="13">
        <v>229</v>
      </c>
      <c r="H170" s="14">
        <v>5356.33</v>
      </c>
      <c r="I170" s="15">
        <v>42242</v>
      </c>
      <c r="K170" s="3">
        <v>34.99</v>
      </c>
      <c r="L170" s="3">
        <v>15.99</v>
      </c>
      <c r="N170" s="9">
        <v>32.99</v>
      </c>
      <c r="O170" s="9">
        <f t="shared" si="15"/>
        <v>16.495000000000001</v>
      </c>
      <c r="P170" s="10">
        <f t="shared" si="16"/>
        <v>3.1582238899312116E-2</v>
      </c>
      <c r="Q170" s="10">
        <f t="shared" si="17"/>
        <v>6.4193548387096844E-2</v>
      </c>
    </row>
    <row r="171" spans="1:17" hidden="1" x14ac:dyDescent="0.25">
      <c r="A171" s="1">
        <v>85300</v>
      </c>
      <c r="B171" s="1">
        <v>1215370</v>
      </c>
      <c r="C171" s="1" t="s">
        <v>343</v>
      </c>
      <c r="D171" s="1" t="s">
        <v>344</v>
      </c>
      <c r="E171" s="1" t="s">
        <v>654</v>
      </c>
      <c r="F171" s="12">
        <v>23.5</v>
      </c>
      <c r="G171" s="13">
        <v>1</v>
      </c>
      <c r="H171" s="13">
        <v>37.590000000000003</v>
      </c>
      <c r="K171" s="3">
        <v>59.99</v>
      </c>
      <c r="L171" s="16">
        <v>24.99</v>
      </c>
      <c r="N171" s="9">
        <f>K171*0.95</f>
        <v>56.990499999999997</v>
      </c>
      <c r="O171" s="9">
        <f t="shared" si="15"/>
        <v>28.495249999999999</v>
      </c>
      <c r="P171" s="10">
        <f t="shared" si="16"/>
        <v>0.14026610644257706</v>
      </c>
      <c r="Q171" s="10">
        <f t="shared" si="17"/>
        <v>0.21256382978723398</v>
      </c>
    </row>
    <row r="172" spans="1:17" hidden="1" x14ac:dyDescent="0.25">
      <c r="A172" s="1">
        <v>85300</v>
      </c>
      <c r="B172" s="1">
        <v>1215361</v>
      </c>
      <c r="C172" s="1" t="s">
        <v>345</v>
      </c>
      <c r="D172" s="1" t="s">
        <v>346</v>
      </c>
      <c r="E172" s="1" t="s">
        <v>607</v>
      </c>
      <c r="F172" s="12">
        <v>21</v>
      </c>
      <c r="G172" s="13">
        <v>9</v>
      </c>
      <c r="H172" s="13">
        <v>292.64999999999998</v>
      </c>
      <c r="K172" s="3">
        <v>44.99</v>
      </c>
      <c r="L172" s="16">
        <v>18.989999999999998</v>
      </c>
      <c r="N172" s="9">
        <v>42.99</v>
      </c>
      <c r="O172" s="9">
        <f t="shared" si="15"/>
        <v>21.495000000000001</v>
      </c>
      <c r="P172" s="10">
        <f t="shared" si="16"/>
        <v>0.13191153238546618</v>
      </c>
      <c r="Q172" s="10">
        <f t="shared" si="17"/>
        <v>2.3571428571428618E-2</v>
      </c>
    </row>
    <row r="173" spans="1:17" hidden="1" x14ac:dyDescent="0.25">
      <c r="A173" s="1">
        <v>85300</v>
      </c>
      <c r="B173" s="1">
        <v>1215353</v>
      </c>
      <c r="C173" s="1" t="s">
        <v>363</v>
      </c>
      <c r="D173" s="1" t="s">
        <v>364</v>
      </c>
      <c r="E173" s="1" t="s">
        <v>612</v>
      </c>
      <c r="F173" s="12">
        <v>18.75</v>
      </c>
      <c r="G173" s="13">
        <v>18</v>
      </c>
      <c r="H173" s="13">
        <v>494.93</v>
      </c>
      <c r="K173" s="3">
        <v>39.99</v>
      </c>
      <c r="L173" s="16">
        <v>16.989999999999998</v>
      </c>
      <c r="N173" s="9">
        <f>K173*0.95</f>
        <v>37.990499999999997</v>
      </c>
      <c r="O173" s="9">
        <f t="shared" si="15"/>
        <v>18.995249999999999</v>
      </c>
      <c r="P173" s="10">
        <f t="shared" si="16"/>
        <v>0.11802530900529726</v>
      </c>
      <c r="Q173" s="10">
        <f t="shared" si="17"/>
        <v>1.3079999999999927E-2</v>
      </c>
    </row>
    <row r="174" spans="1:17" x14ac:dyDescent="0.25">
      <c r="A174" s="1">
        <v>85200</v>
      </c>
      <c r="B174" s="1">
        <v>1215078</v>
      </c>
      <c r="C174" s="1" t="s">
        <v>9</v>
      </c>
      <c r="D174" s="1" t="s">
        <v>10</v>
      </c>
      <c r="E174" s="1" t="s">
        <v>655</v>
      </c>
      <c r="F174" s="12">
        <v>2.25</v>
      </c>
      <c r="G174" s="13">
        <v>339</v>
      </c>
      <c r="H174" s="14">
        <v>1189.8599999999999</v>
      </c>
      <c r="K174" s="3">
        <v>5.49</v>
      </c>
      <c r="L174" s="3">
        <v>1.39</v>
      </c>
      <c r="N174" s="9">
        <v>5.29</v>
      </c>
      <c r="O174" s="9">
        <f t="shared" si="15"/>
        <v>2.645</v>
      </c>
      <c r="P174" s="10">
        <f t="shared" si="16"/>
        <v>0.90287769784172678</v>
      </c>
      <c r="Q174" s="10">
        <f t="shared" si="17"/>
        <v>0.17555555555555558</v>
      </c>
    </row>
    <row r="176" spans="1:17" x14ac:dyDescent="0.25">
      <c r="F176" s="5">
        <f>SUM(F2:F174)</f>
        <v>4715.3799999999992</v>
      </c>
      <c r="K176" s="5">
        <f>SUM(K2:K174)</f>
        <v>10758.269999999971</v>
      </c>
      <c r="L176" s="5">
        <f>SUM(L2:L174)</f>
        <v>3623.5699999999865</v>
      </c>
      <c r="N176" s="5">
        <f>SUM(N2:N174)</f>
        <v>10459.392499999974</v>
      </c>
      <c r="O176" s="5">
        <f>SUM(O2:O174)</f>
        <v>5229.6962499999872</v>
      </c>
      <c r="P176" s="10">
        <f t="shared" ref="P176" si="18">(O176-L176)/L176</f>
        <v>0.44324416252480475</v>
      </c>
      <c r="Q176" s="10">
        <f t="shared" ref="Q176" si="19">(O176-F176)/F176</f>
        <v>0.10907206842290296</v>
      </c>
    </row>
    <row r="177" spans="1:17" x14ac:dyDescent="0.25">
      <c r="F177" s="13">
        <v>5</v>
      </c>
      <c r="G177" s="13">
        <v>6</v>
      </c>
      <c r="H177" s="13">
        <f>G177+1</f>
        <v>7</v>
      </c>
      <c r="I177" s="13">
        <f t="shared" ref="I177:Q177" si="20">H177+1</f>
        <v>8</v>
      </c>
      <c r="J177" s="13">
        <f t="shared" si="20"/>
        <v>9</v>
      </c>
      <c r="K177" s="13">
        <f t="shared" si="20"/>
        <v>10</v>
      </c>
      <c r="L177" s="13">
        <f t="shared" si="20"/>
        <v>11</v>
      </c>
      <c r="M177" s="13">
        <f t="shared" si="20"/>
        <v>12</v>
      </c>
      <c r="N177" s="13">
        <f t="shared" si="20"/>
        <v>13</v>
      </c>
      <c r="O177" s="13">
        <f t="shared" si="20"/>
        <v>14</v>
      </c>
      <c r="P177" s="13">
        <f t="shared" si="20"/>
        <v>15</v>
      </c>
      <c r="Q177" s="13">
        <f t="shared" si="20"/>
        <v>16</v>
      </c>
    </row>
    <row r="178" spans="1:17" x14ac:dyDescent="0.25">
      <c r="A178" s="11" t="s">
        <v>0</v>
      </c>
      <c r="B178" s="11" t="s">
        <v>2</v>
      </c>
      <c r="C178" s="11" t="s">
        <v>3</v>
      </c>
      <c r="D178" s="11" t="s">
        <v>4</v>
      </c>
      <c r="E178" s="1" t="s">
        <v>597</v>
      </c>
      <c r="F178" s="19" t="s">
        <v>594</v>
      </c>
      <c r="G178" s="20" t="s">
        <v>595</v>
      </c>
      <c r="H178" s="20" t="s">
        <v>596</v>
      </c>
      <c r="I178" s="20"/>
      <c r="K178" s="4" t="s">
        <v>588</v>
      </c>
      <c r="L178" s="4" t="s">
        <v>589</v>
      </c>
      <c r="N178" s="4" t="s">
        <v>590</v>
      </c>
      <c r="O178" s="4" t="s">
        <v>591</v>
      </c>
      <c r="P178" s="4" t="s">
        <v>592</v>
      </c>
      <c r="Q178" s="4" t="s">
        <v>593</v>
      </c>
    </row>
    <row r="179" spans="1:17" x14ac:dyDescent="0.25">
      <c r="A179" s="1">
        <v>85709</v>
      </c>
      <c r="B179" s="1">
        <v>1136917</v>
      </c>
      <c r="C179" s="1" t="s">
        <v>389</v>
      </c>
      <c r="D179" s="1" t="s">
        <v>390</v>
      </c>
      <c r="E179" s="18"/>
      <c r="F179" s="13">
        <v>7.5</v>
      </c>
      <c r="G179" s="13">
        <v>-1</v>
      </c>
      <c r="H179" s="13">
        <v>-14.99</v>
      </c>
      <c r="I179" s="15">
        <v>42227</v>
      </c>
      <c r="K179" s="6">
        <v>16.989999999999998</v>
      </c>
      <c r="L179" s="7">
        <v>6.99</v>
      </c>
      <c r="M179" s="8"/>
      <c r="N179" s="6">
        <v>15.99</v>
      </c>
      <c r="O179" s="9">
        <f t="shared" ref="O179:O236" si="21">N179*0.5</f>
        <v>7.9950000000000001</v>
      </c>
      <c r="P179" s="10">
        <f t="shared" ref="P179:P236" si="22">(O179-L179)/L179</f>
        <v>0.14377682403433475</v>
      </c>
      <c r="Q179" s="10">
        <f t="shared" ref="Q179:Q236" si="23">(O179-F179)/F179</f>
        <v>6.6000000000000017E-2</v>
      </c>
    </row>
    <row r="180" spans="1:17" x14ac:dyDescent="0.25">
      <c r="A180" s="1">
        <v>85706</v>
      </c>
      <c r="B180" s="1">
        <v>1136925</v>
      </c>
      <c r="C180" s="1" t="s">
        <v>368</v>
      </c>
      <c r="D180" s="1" t="s">
        <v>369</v>
      </c>
      <c r="E180" s="18" t="s">
        <v>603</v>
      </c>
      <c r="F180" s="13">
        <v>3.75</v>
      </c>
      <c r="G180" s="13">
        <v>36</v>
      </c>
      <c r="H180" s="13">
        <v>209.04</v>
      </c>
      <c r="I180" s="15">
        <v>42205</v>
      </c>
      <c r="K180" s="6">
        <v>5.99</v>
      </c>
      <c r="L180" s="6">
        <v>2.5</v>
      </c>
      <c r="M180" s="8"/>
      <c r="N180" s="6">
        <f t="shared" ref="N180:N236" si="24">K180*0.95</f>
        <v>5.6905000000000001</v>
      </c>
      <c r="O180" s="9">
        <f t="shared" si="21"/>
        <v>2.8452500000000001</v>
      </c>
      <c r="P180" s="10">
        <f t="shared" si="22"/>
        <v>0.13810000000000003</v>
      </c>
      <c r="Q180" s="10">
        <f t="shared" si="23"/>
        <v>-0.24126666666666666</v>
      </c>
    </row>
    <row r="181" spans="1:17" x14ac:dyDescent="0.25">
      <c r="A181" s="1">
        <v>85706</v>
      </c>
      <c r="B181" s="1">
        <v>1136933</v>
      </c>
      <c r="C181" s="1" t="s">
        <v>375</v>
      </c>
      <c r="D181" s="1" t="s">
        <v>376</v>
      </c>
      <c r="E181" s="18" t="s">
        <v>605</v>
      </c>
      <c r="F181" s="12">
        <v>5.5</v>
      </c>
      <c r="G181" s="13">
        <v>16</v>
      </c>
      <c r="H181" s="13">
        <v>155.77000000000001</v>
      </c>
      <c r="K181" s="6">
        <v>18.989999999999998</v>
      </c>
      <c r="L181" s="6">
        <v>3.5</v>
      </c>
      <c r="M181" s="8"/>
      <c r="N181" s="6">
        <v>17.989999999999998</v>
      </c>
      <c r="O181" s="9">
        <f t="shared" si="21"/>
        <v>8.9949999999999992</v>
      </c>
      <c r="P181" s="10">
        <f t="shared" si="22"/>
        <v>1.5699999999999998</v>
      </c>
      <c r="Q181" s="10">
        <f t="shared" si="23"/>
        <v>0.63545454545454527</v>
      </c>
    </row>
    <row r="182" spans="1:17" x14ac:dyDescent="0.25">
      <c r="A182" s="1">
        <v>85706</v>
      </c>
      <c r="B182" s="1">
        <v>1136941</v>
      </c>
      <c r="C182" s="1" t="s">
        <v>382</v>
      </c>
      <c r="D182" s="1" t="s">
        <v>383</v>
      </c>
      <c r="E182" s="18" t="s">
        <v>615</v>
      </c>
      <c r="F182" s="12">
        <v>4.75</v>
      </c>
      <c r="G182" s="13">
        <v>2</v>
      </c>
      <c r="H182" s="13">
        <v>11.5</v>
      </c>
      <c r="K182" s="6">
        <v>13.99</v>
      </c>
      <c r="L182" s="7">
        <v>4.99</v>
      </c>
      <c r="M182" s="8"/>
      <c r="N182" s="6">
        <v>12.99</v>
      </c>
      <c r="O182" s="9">
        <f t="shared" si="21"/>
        <v>6.4950000000000001</v>
      </c>
      <c r="P182" s="10">
        <f t="shared" si="22"/>
        <v>0.30160320641282562</v>
      </c>
      <c r="Q182" s="10">
        <f t="shared" si="23"/>
        <v>0.36736842105263162</v>
      </c>
    </row>
    <row r="183" spans="1:17" x14ac:dyDescent="0.25">
      <c r="A183" s="1">
        <v>85705</v>
      </c>
      <c r="B183" s="1">
        <v>1136968</v>
      </c>
      <c r="C183" s="1" t="s">
        <v>371</v>
      </c>
      <c r="D183" s="1" t="s">
        <v>372</v>
      </c>
      <c r="E183" s="18" t="s">
        <v>656</v>
      </c>
      <c r="F183" s="12">
        <v>0.9</v>
      </c>
      <c r="G183" s="17">
        <v>1095</v>
      </c>
      <c r="H183" s="14">
        <v>1469.32</v>
      </c>
      <c r="K183" s="6">
        <v>2</v>
      </c>
      <c r="L183" s="7">
        <v>0.89</v>
      </c>
      <c r="M183" s="8"/>
      <c r="N183" s="6">
        <v>1.99</v>
      </c>
      <c r="O183" s="9">
        <f t="shared" si="21"/>
        <v>0.995</v>
      </c>
      <c r="P183" s="10">
        <f t="shared" si="22"/>
        <v>0.11797752808988762</v>
      </c>
      <c r="Q183" s="10">
        <f t="shared" si="23"/>
        <v>0.10555555555555553</v>
      </c>
    </row>
    <row r="184" spans="1:17" x14ac:dyDescent="0.25">
      <c r="A184" s="1">
        <v>85706</v>
      </c>
      <c r="B184" s="1">
        <v>1033778</v>
      </c>
      <c r="C184" s="1" t="s">
        <v>384</v>
      </c>
      <c r="D184" s="1" t="s">
        <v>385</v>
      </c>
      <c r="E184" s="18" t="s">
        <v>615</v>
      </c>
      <c r="F184" s="12">
        <v>6.5</v>
      </c>
      <c r="G184" s="13">
        <v>28</v>
      </c>
      <c r="H184" s="13">
        <v>264.57</v>
      </c>
      <c r="K184" s="6">
        <v>8</v>
      </c>
      <c r="L184" s="6">
        <v>3.99</v>
      </c>
      <c r="M184" s="8"/>
      <c r="N184" s="6">
        <v>7.99</v>
      </c>
      <c r="O184" s="9">
        <f t="shared" si="21"/>
        <v>3.9950000000000001</v>
      </c>
      <c r="P184" s="10">
        <f t="shared" si="22"/>
        <v>1.2531328320801738E-3</v>
      </c>
      <c r="Q184" s="10">
        <f t="shared" si="23"/>
        <v>-0.38538461538461538</v>
      </c>
    </row>
    <row r="185" spans="1:17" x14ac:dyDescent="0.25">
      <c r="A185" s="1">
        <v>85709</v>
      </c>
      <c r="B185" s="1">
        <v>1326198</v>
      </c>
      <c r="C185" s="1" t="s">
        <v>408</v>
      </c>
      <c r="D185" s="1" t="s">
        <v>409</v>
      </c>
      <c r="E185" s="18" t="s">
        <v>655</v>
      </c>
      <c r="F185" s="12">
        <v>10</v>
      </c>
      <c r="G185" s="13">
        <v>6</v>
      </c>
      <c r="H185" s="13">
        <v>114.94</v>
      </c>
      <c r="K185" s="6"/>
      <c r="L185" s="6"/>
      <c r="M185" s="8"/>
      <c r="N185" s="6">
        <f t="shared" si="24"/>
        <v>0</v>
      </c>
      <c r="O185" s="9">
        <f t="shared" si="21"/>
        <v>0</v>
      </c>
      <c r="P185" s="10" t="e">
        <f t="shared" si="22"/>
        <v>#DIV/0!</v>
      </c>
      <c r="Q185" s="10">
        <f t="shared" si="23"/>
        <v>-1</v>
      </c>
    </row>
    <row r="186" spans="1:17" x14ac:dyDescent="0.25">
      <c r="A186" s="1">
        <v>85705</v>
      </c>
      <c r="B186" s="1">
        <v>1373285</v>
      </c>
      <c r="C186" s="1" t="s">
        <v>446</v>
      </c>
      <c r="D186" s="1" t="s">
        <v>447</v>
      </c>
      <c r="E186" s="18" t="s">
        <v>657</v>
      </c>
      <c r="F186" s="12">
        <v>1.75</v>
      </c>
      <c r="G186" s="13">
        <v>0</v>
      </c>
      <c r="H186" s="13">
        <v>0</v>
      </c>
      <c r="K186" s="6"/>
      <c r="L186" s="6"/>
      <c r="M186" s="8"/>
      <c r="N186" s="6">
        <f t="shared" si="24"/>
        <v>0</v>
      </c>
      <c r="O186" s="9">
        <f t="shared" si="21"/>
        <v>0</v>
      </c>
      <c r="P186" s="10" t="e">
        <f t="shared" si="22"/>
        <v>#DIV/0!</v>
      </c>
      <c r="Q186" s="10">
        <f t="shared" si="23"/>
        <v>-1</v>
      </c>
    </row>
    <row r="187" spans="1:17" x14ac:dyDescent="0.25">
      <c r="A187" s="1">
        <v>85706</v>
      </c>
      <c r="B187" s="1">
        <v>1033786</v>
      </c>
      <c r="C187" s="1" t="s">
        <v>386</v>
      </c>
      <c r="D187" s="1" t="s">
        <v>387</v>
      </c>
      <c r="E187" s="18" t="s">
        <v>658</v>
      </c>
      <c r="F187" s="12">
        <v>0.6</v>
      </c>
      <c r="G187" s="17">
        <v>2988</v>
      </c>
      <c r="H187" s="14">
        <v>2347.1999999999998</v>
      </c>
      <c r="K187" s="6">
        <f>8/12</f>
        <v>0.66666666666666663</v>
      </c>
      <c r="L187" s="7">
        <v>0.45</v>
      </c>
      <c r="M187" s="8"/>
      <c r="N187" s="6">
        <v>0.65</v>
      </c>
      <c r="O187" s="9">
        <f t="shared" si="21"/>
        <v>0.32500000000000001</v>
      </c>
      <c r="P187" s="10">
        <f t="shared" si="22"/>
        <v>-0.27777777777777779</v>
      </c>
      <c r="Q187" s="10">
        <f t="shared" si="23"/>
        <v>-0.45833333333333331</v>
      </c>
    </row>
    <row r="188" spans="1:17" x14ac:dyDescent="0.25">
      <c r="A188" s="1">
        <v>85709</v>
      </c>
      <c r="B188" s="1">
        <v>1324780</v>
      </c>
      <c r="C188" s="1" t="s">
        <v>410</v>
      </c>
      <c r="D188" s="1" t="s">
        <v>411</v>
      </c>
      <c r="E188" s="18" t="s">
        <v>659</v>
      </c>
      <c r="F188" s="12">
        <v>38</v>
      </c>
      <c r="G188" s="13">
        <v>0</v>
      </c>
      <c r="H188" s="13">
        <v>0</v>
      </c>
      <c r="K188" s="6"/>
      <c r="L188" s="6">
        <v>17.989999999999998</v>
      </c>
      <c r="M188" s="8"/>
      <c r="N188" s="6">
        <f t="shared" si="24"/>
        <v>0</v>
      </c>
      <c r="O188" s="9">
        <f t="shared" si="21"/>
        <v>0</v>
      </c>
      <c r="P188" s="10">
        <f t="shared" si="22"/>
        <v>-1</v>
      </c>
      <c r="Q188" s="10">
        <f t="shared" si="23"/>
        <v>-1</v>
      </c>
    </row>
    <row r="189" spans="1:17" x14ac:dyDescent="0.25">
      <c r="A189" s="1">
        <v>85706</v>
      </c>
      <c r="B189" s="1">
        <v>1037390</v>
      </c>
      <c r="C189" s="1" t="s">
        <v>391</v>
      </c>
      <c r="D189" s="1" t="s">
        <v>660</v>
      </c>
      <c r="E189" s="18" t="s">
        <v>614</v>
      </c>
      <c r="F189" s="12">
        <v>18.5</v>
      </c>
      <c r="G189" s="13">
        <v>0</v>
      </c>
      <c r="H189" s="13">
        <v>0</v>
      </c>
      <c r="K189" s="6">
        <v>39.99</v>
      </c>
      <c r="L189" s="7">
        <v>14.99</v>
      </c>
      <c r="M189" s="8"/>
      <c r="N189" s="6">
        <v>37.99</v>
      </c>
      <c r="O189" s="9">
        <f t="shared" si="21"/>
        <v>18.995000000000001</v>
      </c>
      <c r="P189" s="10">
        <f t="shared" si="22"/>
        <v>0.26717811874583058</v>
      </c>
      <c r="Q189" s="10">
        <f t="shared" si="23"/>
        <v>2.675675675675681E-2</v>
      </c>
    </row>
    <row r="190" spans="1:17" x14ac:dyDescent="0.25">
      <c r="A190" s="1">
        <v>85706</v>
      </c>
      <c r="B190" s="1">
        <v>1037382</v>
      </c>
      <c r="C190" s="1" t="s">
        <v>393</v>
      </c>
      <c r="D190" s="1" t="s">
        <v>394</v>
      </c>
      <c r="E190" s="18" t="s">
        <v>610</v>
      </c>
      <c r="F190" s="12">
        <v>12</v>
      </c>
      <c r="G190" s="13">
        <v>0</v>
      </c>
      <c r="H190" s="13">
        <v>0</v>
      </c>
      <c r="K190" s="6">
        <v>24.99</v>
      </c>
      <c r="L190" s="6">
        <v>11.99</v>
      </c>
      <c r="M190" s="8"/>
      <c r="N190" s="6">
        <v>23.99</v>
      </c>
      <c r="O190" s="9">
        <f t="shared" si="21"/>
        <v>11.994999999999999</v>
      </c>
      <c r="P190" s="10">
        <f t="shared" si="22"/>
        <v>4.1701417848198543E-4</v>
      </c>
      <c r="Q190" s="10">
        <f t="shared" si="23"/>
        <v>-4.166666666667318E-4</v>
      </c>
    </row>
    <row r="191" spans="1:17" x14ac:dyDescent="0.25">
      <c r="A191" s="1">
        <v>85706</v>
      </c>
      <c r="B191" s="1">
        <v>1037374</v>
      </c>
      <c r="C191" s="1" t="s">
        <v>398</v>
      </c>
      <c r="D191" s="1" t="s">
        <v>399</v>
      </c>
      <c r="E191" s="18" t="s">
        <v>635</v>
      </c>
      <c r="F191" s="12">
        <v>9.5</v>
      </c>
      <c r="G191" s="13">
        <v>0</v>
      </c>
      <c r="H191" s="13">
        <v>0</v>
      </c>
      <c r="K191" s="6">
        <v>19.989999999999998</v>
      </c>
      <c r="L191" s="7">
        <v>7.99</v>
      </c>
      <c r="M191" s="8"/>
      <c r="N191" s="6">
        <f t="shared" si="24"/>
        <v>18.990499999999997</v>
      </c>
      <c r="O191" s="9">
        <f t="shared" si="21"/>
        <v>9.4952499999999986</v>
      </c>
      <c r="P191" s="10">
        <f t="shared" si="22"/>
        <v>0.18839173967459305</v>
      </c>
      <c r="Q191" s="10">
        <f t="shared" si="23"/>
        <v>-5.0000000000014356E-4</v>
      </c>
    </row>
    <row r="192" spans="1:17" x14ac:dyDescent="0.25">
      <c r="A192" s="1">
        <v>85708</v>
      </c>
      <c r="B192" s="1">
        <v>1215159</v>
      </c>
      <c r="C192" s="1" t="s">
        <v>396</v>
      </c>
      <c r="D192" s="21" t="s">
        <v>397</v>
      </c>
      <c r="E192" s="22"/>
      <c r="F192" s="12">
        <v>23.75</v>
      </c>
      <c r="G192" s="13">
        <v>0</v>
      </c>
      <c r="H192" s="13">
        <v>0</v>
      </c>
      <c r="K192" s="6">
        <v>69.989999999999995</v>
      </c>
      <c r="L192" s="7">
        <v>16.5</v>
      </c>
      <c r="M192" s="8"/>
      <c r="N192" s="6">
        <v>64.989999999999995</v>
      </c>
      <c r="O192" s="9">
        <f t="shared" si="21"/>
        <v>32.494999999999997</v>
      </c>
      <c r="P192" s="10">
        <f t="shared" si="22"/>
        <v>0.96939393939393925</v>
      </c>
      <c r="Q192" s="10">
        <f t="shared" si="23"/>
        <v>0.36821052631578938</v>
      </c>
    </row>
    <row r="193" spans="1:17" x14ac:dyDescent="0.25">
      <c r="A193" s="1">
        <v>85708</v>
      </c>
      <c r="B193" s="1">
        <v>1215140</v>
      </c>
      <c r="C193" s="1" t="s">
        <v>400</v>
      </c>
      <c r="D193" s="21" t="s">
        <v>401</v>
      </c>
      <c r="E193" s="22" t="s">
        <v>639</v>
      </c>
      <c r="F193" s="12">
        <v>17.5</v>
      </c>
      <c r="G193" s="13">
        <v>88</v>
      </c>
      <c r="H193" s="14">
        <v>2388.7399999999998</v>
      </c>
      <c r="K193" s="6">
        <v>44.99</v>
      </c>
      <c r="L193" s="7">
        <v>11.99</v>
      </c>
      <c r="M193" s="8"/>
      <c r="N193" s="6">
        <v>42.99</v>
      </c>
      <c r="O193" s="9">
        <f t="shared" si="21"/>
        <v>21.495000000000001</v>
      </c>
      <c r="P193" s="10">
        <f t="shared" si="22"/>
        <v>0.79274395329441205</v>
      </c>
      <c r="Q193" s="10">
        <f t="shared" si="23"/>
        <v>0.22828571428571434</v>
      </c>
    </row>
    <row r="194" spans="1:17" x14ac:dyDescent="0.25">
      <c r="A194" s="1">
        <v>85708</v>
      </c>
      <c r="B194" s="1">
        <v>1215132</v>
      </c>
      <c r="C194" s="1" t="s">
        <v>402</v>
      </c>
      <c r="D194" s="21" t="s">
        <v>403</v>
      </c>
      <c r="E194" s="22" t="s">
        <v>612</v>
      </c>
      <c r="F194" s="12">
        <v>13.75</v>
      </c>
      <c r="G194" s="13">
        <v>68</v>
      </c>
      <c r="H194" s="14">
        <v>1462.93</v>
      </c>
      <c r="K194" s="6">
        <v>39.99</v>
      </c>
      <c r="L194" s="7">
        <v>9.99</v>
      </c>
      <c r="M194" s="8"/>
      <c r="N194" s="6">
        <f t="shared" si="24"/>
        <v>37.990499999999997</v>
      </c>
      <c r="O194" s="9">
        <f t="shared" si="21"/>
        <v>18.995249999999999</v>
      </c>
      <c r="P194" s="10">
        <f t="shared" si="22"/>
        <v>0.90142642642642623</v>
      </c>
      <c r="Q194" s="10">
        <f t="shared" si="23"/>
        <v>0.38147272727272719</v>
      </c>
    </row>
    <row r="195" spans="1:17" x14ac:dyDescent="0.25">
      <c r="A195" s="1">
        <v>85701</v>
      </c>
      <c r="B195" s="1">
        <v>1034278</v>
      </c>
      <c r="C195" s="1" t="s">
        <v>661</v>
      </c>
      <c r="D195" s="1" t="s">
        <v>662</v>
      </c>
      <c r="E195" s="18"/>
      <c r="F195" s="13">
        <v>12.5</v>
      </c>
      <c r="G195" s="13">
        <v>0</v>
      </c>
      <c r="H195" s="13">
        <v>0</v>
      </c>
      <c r="I195" s="15">
        <v>39156</v>
      </c>
      <c r="K195" s="6"/>
      <c r="L195" s="6"/>
      <c r="M195" s="8"/>
      <c r="N195" s="6">
        <f t="shared" si="24"/>
        <v>0</v>
      </c>
      <c r="O195" s="9">
        <f t="shared" si="21"/>
        <v>0</v>
      </c>
      <c r="P195" s="10" t="e">
        <f t="shared" si="22"/>
        <v>#DIV/0!</v>
      </c>
      <c r="Q195" s="10">
        <f t="shared" si="23"/>
        <v>-1</v>
      </c>
    </row>
    <row r="196" spans="1:17" x14ac:dyDescent="0.25">
      <c r="A196" s="1">
        <v>85708</v>
      </c>
      <c r="B196" s="1">
        <v>1053183</v>
      </c>
      <c r="C196" s="1" t="s">
        <v>406</v>
      </c>
      <c r="D196" s="1" t="s">
        <v>407</v>
      </c>
      <c r="E196" s="18" t="s">
        <v>663</v>
      </c>
      <c r="F196" s="12">
        <v>32</v>
      </c>
      <c r="G196" s="13">
        <v>45</v>
      </c>
      <c r="H196" s="14">
        <v>1550.85</v>
      </c>
      <c r="K196" s="6">
        <v>69.989999999999995</v>
      </c>
      <c r="L196" s="6">
        <v>17.989999999999998</v>
      </c>
      <c r="M196" s="8"/>
      <c r="N196" s="6">
        <v>64.989999999999995</v>
      </c>
      <c r="O196" s="9">
        <f t="shared" si="21"/>
        <v>32.494999999999997</v>
      </c>
      <c r="P196" s="10">
        <f t="shared" si="22"/>
        <v>0.80628126737076156</v>
      </c>
      <c r="Q196" s="10">
        <f t="shared" si="23"/>
        <v>1.546874999999992E-2</v>
      </c>
    </row>
    <row r="197" spans="1:17" x14ac:dyDescent="0.25">
      <c r="A197" s="1">
        <v>85705</v>
      </c>
      <c r="B197" s="1">
        <v>1033743</v>
      </c>
      <c r="C197" s="1" t="s">
        <v>379</v>
      </c>
      <c r="D197" s="1" t="s">
        <v>380</v>
      </c>
      <c r="E197" s="18" t="s">
        <v>664</v>
      </c>
      <c r="F197" s="12">
        <v>0.89</v>
      </c>
      <c r="G197" s="13">
        <v>531</v>
      </c>
      <c r="H197" s="13">
        <v>711.35</v>
      </c>
      <c r="K197" s="6">
        <f>5/5</f>
        <v>1</v>
      </c>
      <c r="L197" s="7">
        <v>0.45</v>
      </c>
      <c r="M197" s="8"/>
      <c r="N197" s="6">
        <v>0.99</v>
      </c>
      <c r="O197" s="9">
        <f t="shared" si="21"/>
        <v>0.495</v>
      </c>
      <c r="P197" s="10">
        <f t="shared" si="22"/>
        <v>9.9999999999999964E-2</v>
      </c>
      <c r="Q197" s="10">
        <f t="shared" si="23"/>
        <v>-0.44382022471910115</v>
      </c>
    </row>
    <row r="198" spans="1:17" x14ac:dyDescent="0.25">
      <c r="A198" s="1">
        <v>85709</v>
      </c>
      <c r="B198" s="1">
        <v>1035762</v>
      </c>
      <c r="C198" s="1" t="s">
        <v>414</v>
      </c>
      <c r="D198" s="1" t="s">
        <v>415</v>
      </c>
      <c r="E198" s="18" t="s">
        <v>610</v>
      </c>
      <c r="F198" s="12">
        <v>5.5</v>
      </c>
      <c r="G198" s="13">
        <v>43</v>
      </c>
      <c r="H198" s="13">
        <v>312.08999999999997</v>
      </c>
      <c r="K198" s="6">
        <v>11.99</v>
      </c>
      <c r="L198" s="6">
        <v>2.75</v>
      </c>
      <c r="M198" s="8"/>
      <c r="N198" s="6">
        <v>10.99</v>
      </c>
      <c r="O198" s="9">
        <f t="shared" si="21"/>
        <v>5.4950000000000001</v>
      </c>
      <c r="P198" s="10">
        <f t="shared" si="22"/>
        <v>0.99818181818181817</v>
      </c>
      <c r="Q198" s="10">
        <f t="shared" si="23"/>
        <v>-9.0909090909088968E-4</v>
      </c>
    </row>
    <row r="199" spans="1:17" x14ac:dyDescent="0.25">
      <c r="A199" s="1">
        <v>85706</v>
      </c>
      <c r="B199" s="1">
        <v>1033832</v>
      </c>
      <c r="C199" s="1" t="s">
        <v>404</v>
      </c>
      <c r="D199" s="1" t="s">
        <v>405</v>
      </c>
      <c r="E199" s="18" t="s">
        <v>633</v>
      </c>
      <c r="F199" s="12">
        <v>14</v>
      </c>
      <c r="G199" s="13">
        <v>96</v>
      </c>
      <c r="H199" s="14">
        <v>1755.99</v>
      </c>
      <c r="K199" s="6">
        <v>29.99</v>
      </c>
      <c r="L199" s="7">
        <v>12.5</v>
      </c>
      <c r="M199" s="8"/>
      <c r="N199" s="6">
        <v>27.99</v>
      </c>
      <c r="O199" s="9">
        <f t="shared" si="21"/>
        <v>13.994999999999999</v>
      </c>
      <c r="P199" s="10">
        <f t="shared" si="22"/>
        <v>0.11959999999999994</v>
      </c>
      <c r="Q199" s="10">
        <f t="shared" si="23"/>
        <v>-3.5714285714291298E-4</v>
      </c>
    </row>
    <row r="200" spans="1:17" x14ac:dyDescent="0.25">
      <c r="A200" s="1">
        <v>85706</v>
      </c>
      <c r="B200" s="1">
        <v>1033824</v>
      </c>
      <c r="C200" s="1" t="s">
        <v>412</v>
      </c>
      <c r="D200" s="1" t="s">
        <v>413</v>
      </c>
      <c r="E200" s="18" t="s">
        <v>605</v>
      </c>
      <c r="F200" s="12">
        <v>11.5</v>
      </c>
      <c r="G200" s="13">
        <v>227</v>
      </c>
      <c r="H200" s="14">
        <v>3488.79</v>
      </c>
      <c r="K200" s="6">
        <v>26.99</v>
      </c>
      <c r="L200" s="7">
        <v>9.99</v>
      </c>
      <c r="M200" s="8"/>
      <c r="N200" s="6">
        <v>24.99</v>
      </c>
      <c r="O200" s="9">
        <f t="shared" si="21"/>
        <v>12.494999999999999</v>
      </c>
      <c r="P200" s="10">
        <f t="shared" si="22"/>
        <v>0.25075075075075065</v>
      </c>
      <c r="Q200" s="10">
        <f t="shared" si="23"/>
        <v>8.6521739130434719E-2</v>
      </c>
    </row>
    <row r="201" spans="1:17" x14ac:dyDescent="0.25">
      <c r="A201" s="1">
        <v>85706</v>
      </c>
      <c r="B201" s="1">
        <v>1033816</v>
      </c>
      <c r="C201" s="1" t="s">
        <v>418</v>
      </c>
      <c r="D201" s="1" t="s">
        <v>419</v>
      </c>
      <c r="E201" s="18" t="s">
        <v>642</v>
      </c>
      <c r="F201" s="13">
        <v>10.5</v>
      </c>
      <c r="G201" s="13">
        <v>160</v>
      </c>
      <c r="H201" s="14">
        <v>2182.29</v>
      </c>
      <c r="I201" s="15">
        <v>42205</v>
      </c>
      <c r="K201" s="6">
        <v>24.99</v>
      </c>
      <c r="L201" s="7">
        <v>7.99</v>
      </c>
      <c r="M201" s="8"/>
      <c r="N201" s="6">
        <v>22.99</v>
      </c>
      <c r="O201" s="9">
        <f t="shared" si="21"/>
        <v>11.494999999999999</v>
      </c>
      <c r="P201" s="10">
        <f t="shared" si="22"/>
        <v>0.43867334167709621</v>
      </c>
      <c r="Q201" s="10">
        <f t="shared" si="23"/>
        <v>9.4761904761904686E-2</v>
      </c>
    </row>
    <row r="202" spans="1:17" x14ac:dyDescent="0.25">
      <c r="A202" s="1">
        <v>85709</v>
      </c>
      <c r="B202" s="1">
        <v>1323954</v>
      </c>
      <c r="C202" s="1" t="s">
        <v>422</v>
      </c>
      <c r="D202" s="1" t="s">
        <v>423</v>
      </c>
      <c r="E202" s="18" t="s">
        <v>665</v>
      </c>
      <c r="F202" s="12">
        <v>40</v>
      </c>
      <c r="G202" s="13">
        <v>0</v>
      </c>
      <c r="H202" s="13">
        <v>0</v>
      </c>
      <c r="K202" s="6">
        <v>79.989999999999995</v>
      </c>
      <c r="L202" s="6">
        <v>12.99</v>
      </c>
      <c r="M202" s="8"/>
      <c r="N202" s="6">
        <f t="shared" si="24"/>
        <v>75.990499999999997</v>
      </c>
      <c r="O202" s="9">
        <f t="shared" si="21"/>
        <v>37.995249999999999</v>
      </c>
      <c r="P202" s="10">
        <f t="shared" si="22"/>
        <v>1.9249615088529635</v>
      </c>
      <c r="Q202" s="10">
        <f t="shared" si="23"/>
        <v>-5.0118750000000031E-2</v>
      </c>
    </row>
    <row r="203" spans="1:17" x14ac:dyDescent="0.25">
      <c r="A203" s="1">
        <v>85708</v>
      </c>
      <c r="B203" s="1">
        <v>1373137</v>
      </c>
      <c r="C203" s="1" t="s">
        <v>416</v>
      </c>
      <c r="D203" s="1" t="s">
        <v>417</v>
      </c>
      <c r="E203" s="18" t="s">
        <v>607</v>
      </c>
      <c r="F203" s="12">
        <v>4.25</v>
      </c>
      <c r="G203" s="13">
        <v>103</v>
      </c>
      <c r="H203" s="13">
        <v>741.6</v>
      </c>
      <c r="K203" s="6">
        <v>12.99</v>
      </c>
      <c r="L203" s="6">
        <v>3.99</v>
      </c>
      <c r="M203" s="8"/>
      <c r="N203" s="6">
        <v>11.99</v>
      </c>
      <c r="O203" s="9">
        <f t="shared" si="21"/>
        <v>5.9950000000000001</v>
      </c>
      <c r="P203" s="10">
        <f t="shared" si="22"/>
        <v>0.50250626566416035</v>
      </c>
      <c r="Q203" s="10">
        <f t="shared" si="23"/>
        <v>0.4105882352941177</v>
      </c>
    </row>
    <row r="204" spans="1:17" x14ac:dyDescent="0.25">
      <c r="A204" s="1">
        <v>85706</v>
      </c>
      <c r="B204" s="1">
        <v>1373200</v>
      </c>
      <c r="C204" s="1" t="s">
        <v>420</v>
      </c>
      <c r="D204" s="1" t="s">
        <v>421</v>
      </c>
      <c r="E204" s="18" t="s">
        <v>640</v>
      </c>
      <c r="F204" s="12">
        <v>4.75</v>
      </c>
      <c r="G204" s="13">
        <v>223</v>
      </c>
      <c r="H204" s="14">
        <v>1505.87</v>
      </c>
      <c r="K204" s="6">
        <v>5.5</v>
      </c>
      <c r="L204" s="7">
        <v>2.39</v>
      </c>
      <c r="M204" s="8"/>
      <c r="N204" s="6">
        <v>5.29</v>
      </c>
      <c r="O204" s="9">
        <f t="shared" si="21"/>
        <v>2.645</v>
      </c>
      <c r="P204" s="10">
        <f t="shared" si="22"/>
        <v>0.10669456066945601</v>
      </c>
      <c r="Q204" s="10">
        <f t="shared" si="23"/>
        <v>-0.44315789473684208</v>
      </c>
    </row>
    <row r="205" spans="1:17" x14ac:dyDescent="0.25">
      <c r="A205" s="1">
        <v>85709</v>
      </c>
      <c r="B205" s="1">
        <v>1033654</v>
      </c>
      <c r="C205" s="1" t="s">
        <v>428</v>
      </c>
      <c r="D205" s="1" t="s">
        <v>429</v>
      </c>
      <c r="E205" s="18" t="s">
        <v>607</v>
      </c>
      <c r="F205" s="12">
        <v>5.5</v>
      </c>
      <c r="G205" s="13">
        <v>185</v>
      </c>
      <c r="H205" s="14">
        <v>1406.07</v>
      </c>
      <c r="K205" s="6">
        <v>12.99</v>
      </c>
      <c r="L205" s="6">
        <v>4.75</v>
      </c>
      <c r="M205" s="8"/>
      <c r="N205" s="6">
        <v>11.99</v>
      </c>
      <c r="O205" s="9">
        <f t="shared" si="21"/>
        <v>5.9950000000000001</v>
      </c>
      <c r="P205" s="10">
        <f t="shared" si="22"/>
        <v>0.26210526315789479</v>
      </c>
      <c r="Q205" s="10">
        <f t="shared" si="23"/>
        <v>9.0000000000000024E-2</v>
      </c>
    </row>
    <row r="206" spans="1:17" x14ac:dyDescent="0.25">
      <c r="A206" s="1">
        <v>85706</v>
      </c>
      <c r="B206" s="1">
        <v>1033808</v>
      </c>
      <c r="C206" s="1" t="s">
        <v>424</v>
      </c>
      <c r="D206" s="1" t="s">
        <v>425</v>
      </c>
      <c r="E206" s="18" t="s">
        <v>666</v>
      </c>
      <c r="F206" s="13">
        <v>16.5</v>
      </c>
      <c r="G206" s="13">
        <v>117</v>
      </c>
      <c r="H206" s="14">
        <v>2630.26</v>
      </c>
      <c r="I206" s="15">
        <v>42205</v>
      </c>
      <c r="K206" s="6">
        <v>34.99</v>
      </c>
      <c r="L206" s="6">
        <v>11.99</v>
      </c>
      <c r="M206" s="8"/>
      <c r="N206" s="6">
        <v>32.99</v>
      </c>
      <c r="O206" s="9">
        <f t="shared" si="21"/>
        <v>16.495000000000001</v>
      </c>
      <c r="P206" s="10">
        <f t="shared" si="22"/>
        <v>0.37572977481234365</v>
      </c>
      <c r="Q206" s="10">
        <f t="shared" si="23"/>
        <v>-3.0303030303024275E-4</v>
      </c>
    </row>
    <row r="207" spans="1:17" x14ac:dyDescent="0.25">
      <c r="A207" s="1">
        <v>85706</v>
      </c>
      <c r="B207" s="1">
        <v>1326341</v>
      </c>
      <c r="C207" s="1" t="s">
        <v>426</v>
      </c>
      <c r="D207" s="1" t="s">
        <v>427</v>
      </c>
      <c r="E207" s="18" t="s">
        <v>635</v>
      </c>
      <c r="F207" s="12">
        <v>16.5</v>
      </c>
      <c r="G207" s="13">
        <v>26</v>
      </c>
      <c r="H207" s="13">
        <v>672.33</v>
      </c>
      <c r="K207" s="6">
        <v>34.99</v>
      </c>
      <c r="L207" s="7">
        <v>11.99</v>
      </c>
      <c r="M207" s="8"/>
      <c r="N207" s="6">
        <v>32.99</v>
      </c>
      <c r="O207" s="9">
        <f t="shared" si="21"/>
        <v>16.495000000000001</v>
      </c>
      <c r="P207" s="10">
        <f t="shared" si="22"/>
        <v>0.37572977481234365</v>
      </c>
      <c r="Q207" s="10">
        <f t="shared" si="23"/>
        <v>-3.0303030303024275E-4</v>
      </c>
    </row>
    <row r="208" spans="1:17" x14ac:dyDescent="0.25">
      <c r="A208" s="1">
        <v>85709</v>
      </c>
      <c r="B208" s="1">
        <v>1324969</v>
      </c>
      <c r="C208" s="1" t="s">
        <v>444</v>
      </c>
      <c r="D208" s="1" t="s">
        <v>445</v>
      </c>
      <c r="E208" s="18" t="s">
        <v>667</v>
      </c>
      <c r="F208" s="12">
        <v>14</v>
      </c>
      <c r="G208" s="13">
        <v>0</v>
      </c>
      <c r="H208" s="13">
        <v>0</v>
      </c>
      <c r="K208" s="6">
        <v>24.99</v>
      </c>
      <c r="L208" s="6">
        <v>7.99</v>
      </c>
      <c r="M208" s="8"/>
      <c r="N208" s="6">
        <v>23.99</v>
      </c>
      <c r="O208" s="9">
        <f t="shared" si="21"/>
        <v>11.994999999999999</v>
      </c>
      <c r="P208" s="10">
        <f t="shared" si="22"/>
        <v>0.50125156445556929</v>
      </c>
      <c r="Q208" s="10">
        <f t="shared" si="23"/>
        <v>-0.14321428571428577</v>
      </c>
    </row>
    <row r="209" spans="1:17" x14ac:dyDescent="0.25">
      <c r="A209" s="1">
        <v>85709</v>
      </c>
      <c r="B209" s="1">
        <v>1373323</v>
      </c>
      <c r="C209" s="1" t="s">
        <v>448</v>
      </c>
      <c r="D209" s="1" t="s">
        <v>449</v>
      </c>
      <c r="E209" s="18" t="s">
        <v>612</v>
      </c>
      <c r="F209" s="12">
        <v>9.5</v>
      </c>
      <c r="G209" s="13">
        <v>36</v>
      </c>
      <c r="H209" s="13">
        <v>535.48</v>
      </c>
      <c r="K209" s="6">
        <v>19.989999999999998</v>
      </c>
      <c r="L209" s="7">
        <v>6.5</v>
      </c>
      <c r="M209" s="8"/>
      <c r="N209" s="6">
        <v>18.989999999999998</v>
      </c>
      <c r="O209" s="9">
        <f t="shared" si="21"/>
        <v>9.4949999999999992</v>
      </c>
      <c r="P209" s="10">
        <f t="shared" si="22"/>
        <v>0.46076923076923065</v>
      </c>
      <c r="Q209" s="10">
        <f t="shared" si="23"/>
        <v>-5.2631578947376649E-4</v>
      </c>
    </row>
    <row r="210" spans="1:17" x14ac:dyDescent="0.25">
      <c r="A210" s="1">
        <v>85705</v>
      </c>
      <c r="B210" s="1">
        <v>1033751</v>
      </c>
      <c r="C210" s="1" t="s">
        <v>373</v>
      </c>
      <c r="D210" s="1" t="s">
        <v>374</v>
      </c>
      <c r="E210" s="18" t="s">
        <v>657</v>
      </c>
      <c r="F210" s="12">
        <v>0.89</v>
      </c>
      <c r="G210" s="17">
        <v>1035</v>
      </c>
      <c r="H210" s="14">
        <v>1281.51</v>
      </c>
      <c r="K210" s="6">
        <f>5/5</f>
        <v>1</v>
      </c>
      <c r="L210" s="7">
        <v>0.45</v>
      </c>
      <c r="M210" s="8"/>
      <c r="N210" s="6">
        <v>0.99</v>
      </c>
      <c r="O210" s="9">
        <f t="shared" si="21"/>
        <v>0.495</v>
      </c>
      <c r="P210" s="10">
        <f t="shared" si="22"/>
        <v>9.9999999999999964E-2</v>
      </c>
      <c r="Q210" s="10">
        <f t="shared" si="23"/>
        <v>-0.44382022471910115</v>
      </c>
    </row>
    <row r="211" spans="1:17" x14ac:dyDescent="0.25">
      <c r="A211" s="1">
        <v>85708</v>
      </c>
      <c r="B211" s="1">
        <v>1434349</v>
      </c>
      <c r="C211" s="1" t="s">
        <v>430</v>
      </c>
      <c r="D211" s="21" t="s">
        <v>431</v>
      </c>
      <c r="E211" s="22" t="s">
        <v>668</v>
      </c>
      <c r="F211" s="12">
        <v>15</v>
      </c>
      <c r="G211" s="13">
        <v>34</v>
      </c>
      <c r="H211" s="13">
        <v>780.16</v>
      </c>
      <c r="K211" s="6">
        <v>24.99</v>
      </c>
      <c r="L211" s="6">
        <v>12.99</v>
      </c>
      <c r="M211" s="8"/>
      <c r="N211" s="6">
        <v>23.99</v>
      </c>
      <c r="O211" s="9">
        <f t="shared" si="21"/>
        <v>11.994999999999999</v>
      </c>
      <c r="P211" s="10">
        <f t="shared" si="22"/>
        <v>-7.6597382602001621E-2</v>
      </c>
      <c r="Q211" s="10">
        <f t="shared" si="23"/>
        <v>-0.20033333333333339</v>
      </c>
    </row>
    <row r="212" spans="1:17" x14ac:dyDescent="0.25">
      <c r="A212" s="1">
        <v>85705</v>
      </c>
      <c r="B212" s="1">
        <v>1038052</v>
      </c>
      <c r="C212" s="1" t="s">
        <v>377</v>
      </c>
      <c r="D212" s="1" t="s">
        <v>381</v>
      </c>
      <c r="E212" s="18" t="s">
        <v>669</v>
      </c>
      <c r="F212" s="13">
        <v>0.9</v>
      </c>
      <c r="G212" s="13">
        <v>321</v>
      </c>
      <c r="H212" s="13">
        <v>486.88</v>
      </c>
      <c r="I212" s="15">
        <v>42205</v>
      </c>
      <c r="K212" s="6">
        <f>8/10</f>
        <v>0.8</v>
      </c>
      <c r="L212" s="6">
        <v>0.89</v>
      </c>
      <c r="M212" s="8"/>
      <c r="N212" s="6">
        <f t="shared" si="24"/>
        <v>0.76</v>
      </c>
      <c r="O212" s="9">
        <f t="shared" si="21"/>
        <v>0.38</v>
      </c>
      <c r="P212" s="10">
        <f t="shared" si="22"/>
        <v>-0.5730337078651685</v>
      </c>
      <c r="Q212" s="10">
        <f t="shared" si="23"/>
        <v>-0.57777777777777783</v>
      </c>
    </row>
    <row r="213" spans="1:17" x14ac:dyDescent="0.25">
      <c r="A213" s="1">
        <v>85706</v>
      </c>
      <c r="B213" s="1">
        <v>1373218</v>
      </c>
      <c r="C213" s="1" t="s">
        <v>432</v>
      </c>
      <c r="D213" s="1" t="s">
        <v>433</v>
      </c>
      <c r="E213" s="18" t="s">
        <v>640</v>
      </c>
      <c r="F213" s="12">
        <v>4.25</v>
      </c>
      <c r="G213" s="13">
        <v>48</v>
      </c>
      <c r="H213" s="13">
        <v>321.32</v>
      </c>
      <c r="K213" s="6">
        <v>7</v>
      </c>
      <c r="L213" s="7">
        <v>2.5</v>
      </c>
      <c r="M213" s="8"/>
      <c r="N213" s="6">
        <v>6.49</v>
      </c>
      <c r="O213" s="9">
        <f t="shared" si="21"/>
        <v>3.2450000000000001</v>
      </c>
      <c r="P213" s="10">
        <f t="shared" si="22"/>
        <v>0.29800000000000004</v>
      </c>
      <c r="Q213" s="10">
        <f t="shared" si="23"/>
        <v>-0.2364705882352941</v>
      </c>
    </row>
    <row r="214" spans="1:17" x14ac:dyDescent="0.25">
      <c r="A214" s="1">
        <v>85705</v>
      </c>
      <c r="B214" s="1">
        <v>1033760</v>
      </c>
      <c r="C214" s="1" t="s">
        <v>377</v>
      </c>
      <c r="D214" s="1" t="s">
        <v>378</v>
      </c>
      <c r="E214" s="18" t="s">
        <v>657</v>
      </c>
      <c r="F214" s="12">
        <v>0.89</v>
      </c>
      <c r="G214" s="13">
        <v>596</v>
      </c>
      <c r="H214" s="13">
        <v>764.09</v>
      </c>
      <c r="K214" s="6">
        <v>1.99</v>
      </c>
      <c r="L214" s="6">
        <v>0.69</v>
      </c>
      <c r="M214" s="8"/>
      <c r="N214" s="6">
        <f t="shared" si="24"/>
        <v>1.8904999999999998</v>
      </c>
      <c r="O214" s="9">
        <f t="shared" si="21"/>
        <v>0.94524999999999992</v>
      </c>
      <c r="P214" s="10">
        <f t="shared" si="22"/>
        <v>0.36992753623188407</v>
      </c>
      <c r="Q214" s="10">
        <f t="shared" si="23"/>
        <v>6.2078651685393157E-2</v>
      </c>
    </row>
    <row r="215" spans="1:17" x14ac:dyDescent="0.25">
      <c r="A215" s="1">
        <v>85708</v>
      </c>
      <c r="B215" s="1">
        <v>1322907</v>
      </c>
      <c r="C215" s="1" t="s">
        <v>438</v>
      </c>
      <c r="D215" s="1" t="s">
        <v>439</v>
      </c>
      <c r="E215" s="18" t="s">
        <v>610</v>
      </c>
      <c r="F215" s="12">
        <v>20</v>
      </c>
      <c r="G215" s="13">
        <v>1</v>
      </c>
      <c r="H215" s="13">
        <v>29.99</v>
      </c>
      <c r="K215" s="6"/>
      <c r="L215" s="6"/>
      <c r="M215" s="8"/>
      <c r="N215" s="6">
        <f t="shared" si="24"/>
        <v>0</v>
      </c>
      <c r="O215" s="9">
        <f t="shared" si="21"/>
        <v>0</v>
      </c>
      <c r="P215" s="10" t="e">
        <f t="shared" si="22"/>
        <v>#DIV/0!</v>
      </c>
      <c r="Q215" s="10">
        <f t="shared" si="23"/>
        <v>-1</v>
      </c>
    </row>
    <row r="216" spans="1:17" x14ac:dyDescent="0.25">
      <c r="A216" s="1">
        <v>85708</v>
      </c>
      <c r="B216" s="1">
        <v>1322915</v>
      </c>
      <c r="C216" s="1" t="s">
        <v>442</v>
      </c>
      <c r="D216" s="1" t="s">
        <v>443</v>
      </c>
      <c r="E216" s="18" t="s">
        <v>614</v>
      </c>
      <c r="F216" s="12">
        <v>25</v>
      </c>
      <c r="G216" s="13">
        <v>0</v>
      </c>
      <c r="H216" s="13">
        <v>0</v>
      </c>
      <c r="K216" s="6"/>
      <c r="L216" s="6"/>
      <c r="M216" s="8"/>
      <c r="N216" s="6">
        <f t="shared" si="24"/>
        <v>0</v>
      </c>
      <c r="O216" s="9">
        <f t="shared" si="21"/>
        <v>0</v>
      </c>
      <c r="P216" s="10" t="e">
        <f t="shared" si="22"/>
        <v>#DIV/0!</v>
      </c>
      <c r="Q216" s="10">
        <f t="shared" si="23"/>
        <v>-1</v>
      </c>
    </row>
    <row r="217" spans="1:17" x14ac:dyDescent="0.25">
      <c r="A217" s="1">
        <v>85709</v>
      </c>
      <c r="B217" s="1">
        <v>1373331</v>
      </c>
      <c r="C217" s="1" t="s">
        <v>457</v>
      </c>
      <c r="D217" s="1" t="s">
        <v>458</v>
      </c>
      <c r="E217" s="18" t="s">
        <v>627</v>
      </c>
      <c r="F217" s="12">
        <v>7</v>
      </c>
      <c r="G217" s="13">
        <v>42</v>
      </c>
      <c r="H217" s="13">
        <v>484.9</v>
      </c>
      <c r="K217" s="6">
        <v>9.99</v>
      </c>
      <c r="L217" s="6">
        <v>4.5</v>
      </c>
      <c r="M217" s="8"/>
      <c r="N217" s="6">
        <v>9.99</v>
      </c>
      <c r="O217" s="9">
        <f t="shared" si="21"/>
        <v>4.9950000000000001</v>
      </c>
      <c r="P217" s="10">
        <f t="shared" si="22"/>
        <v>0.11000000000000003</v>
      </c>
      <c r="Q217" s="10">
        <f t="shared" si="23"/>
        <v>-0.28642857142857142</v>
      </c>
    </row>
    <row r="218" spans="1:17" x14ac:dyDescent="0.25">
      <c r="A218" s="1">
        <v>85706</v>
      </c>
      <c r="B218" s="1">
        <v>1373269</v>
      </c>
      <c r="C218" s="1" t="s">
        <v>434</v>
      </c>
      <c r="D218" s="1" t="s">
        <v>435</v>
      </c>
      <c r="E218" s="18" t="s">
        <v>640</v>
      </c>
      <c r="F218" s="12">
        <v>4.25</v>
      </c>
      <c r="G218" s="13">
        <v>230</v>
      </c>
      <c r="H218" s="14">
        <v>1580.78</v>
      </c>
      <c r="K218" s="6">
        <v>6</v>
      </c>
      <c r="L218" s="6">
        <v>3.25</v>
      </c>
      <c r="M218" s="8"/>
      <c r="N218" s="6">
        <v>5.99</v>
      </c>
      <c r="O218" s="9">
        <f t="shared" si="21"/>
        <v>2.9950000000000001</v>
      </c>
      <c r="P218" s="10">
        <f t="shared" si="22"/>
        <v>-7.846153846153843E-2</v>
      </c>
      <c r="Q218" s="10">
        <f t="shared" si="23"/>
        <v>-0.29529411764705882</v>
      </c>
    </row>
    <row r="219" spans="1:17" x14ac:dyDescent="0.25">
      <c r="A219" s="1">
        <v>85706</v>
      </c>
      <c r="B219" s="1">
        <v>1326295</v>
      </c>
      <c r="C219" s="1" t="s">
        <v>436</v>
      </c>
      <c r="D219" s="1" t="s">
        <v>437</v>
      </c>
      <c r="E219" s="18" t="s">
        <v>635</v>
      </c>
      <c r="F219" s="12">
        <v>7.5</v>
      </c>
      <c r="G219" s="13">
        <v>1</v>
      </c>
      <c r="H219" s="13">
        <v>9.99</v>
      </c>
      <c r="K219" s="6">
        <v>16.989999999999998</v>
      </c>
      <c r="L219" s="7">
        <v>4.95</v>
      </c>
      <c r="M219" s="8"/>
      <c r="N219" s="6">
        <v>15.99</v>
      </c>
      <c r="O219" s="9">
        <f t="shared" si="21"/>
        <v>7.9950000000000001</v>
      </c>
      <c r="P219" s="10">
        <f t="shared" si="22"/>
        <v>0.61515151515151512</v>
      </c>
      <c r="Q219" s="10">
        <f t="shared" si="23"/>
        <v>6.6000000000000017E-2</v>
      </c>
    </row>
    <row r="220" spans="1:17" x14ac:dyDescent="0.25">
      <c r="A220" s="1">
        <v>85708</v>
      </c>
      <c r="B220" s="1">
        <v>1325213</v>
      </c>
      <c r="C220" s="1" t="s">
        <v>455</v>
      </c>
      <c r="D220" s="1" t="s">
        <v>456</v>
      </c>
      <c r="E220" s="18" t="s">
        <v>610</v>
      </c>
      <c r="F220" s="12">
        <v>12.35</v>
      </c>
      <c r="G220" s="13">
        <v>4</v>
      </c>
      <c r="H220" s="13">
        <v>91.21</v>
      </c>
      <c r="K220" s="6"/>
      <c r="L220" s="6"/>
      <c r="M220" s="8"/>
      <c r="N220" s="6">
        <f t="shared" si="24"/>
        <v>0</v>
      </c>
      <c r="O220" s="9">
        <f t="shared" si="21"/>
        <v>0</v>
      </c>
      <c r="P220" s="10" t="e">
        <f t="shared" si="22"/>
        <v>#DIV/0!</v>
      </c>
      <c r="Q220" s="10">
        <f t="shared" si="23"/>
        <v>-1</v>
      </c>
    </row>
    <row r="221" spans="1:17" x14ac:dyDescent="0.25">
      <c r="A221" s="1">
        <v>85706</v>
      </c>
      <c r="B221" s="1">
        <v>1038036</v>
      </c>
      <c r="C221" s="1" t="s">
        <v>440</v>
      </c>
      <c r="D221" s="1" t="s">
        <v>441</v>
      </c>
      <c r="E221" s="18" t="s">
        <v>620</v>
      </c>
      <c r="F221" s="12">
        <v>14</v>
      </c>
      <c r="G221" s="13">
        <v>4</v>
      </c>
      <c r="H221" s="13">
        <v>83.72</v>
      </c>
      <c r="K221" s="6">
        <v>29.99</v>
      </c>
      <c r="L221" s="7">
        <v>7.99</v>
      </c>
      <c r="M221" s="8"/>
      <c r="N221" s="6">
        <v>28.99</v>
      </c>
      <c r="O221" s="9">
        <f t="shared" si="21"/>
        <v>14.494999999999999</v>
      </c>
      <c r="P221" s="10">
        <f t="shared" si="22"/>
        <v>0.81414267834793475</v>
      </c>
      <c r="Q221" s="10">
        <f t="shared" si="23"/>
        <v>3.5357142857142802E-2</v>
      </c>
    </row>
    <row r="222" spans="1:17" x14ac:dyDescent="0.25">
      <c r="A222" s="1">
        <v>85706</v>
      </c>
      <c r="B222" s="1">
        <v>1038028</v>
      </c>
      <c r="C222" s="1" t="s">
        <v>450</v>
      </c>
      <c r="D222" s="1" t="s">
        <v>451</v>
      </c>
      <c r="E222" s="18" t="s">
        <v>625</v>
      </c>
      <c r="F222" s="12">
        <v>11.75</v>
      </c>
      <c r="G222" s="13">
        <v>4</v>
      </c>
      <c r="H222" s="13">
        <v>69.180000000000007</v>
      </c>
      <c r="K222" s="6">
        <v>24.99</v>
      </c>
      <c r="L222" s="6">
        <v>5.99</v>
      </c>
      <c r="M222" s="8"/>
      <c r="N222" s="6">
        <v>23.99</v>
      </c>
      <c r="O222" s="9">
        <f t="shared" si="21"/>
        <v>11.994999999999999</v>
      </c>
      <c r="P222" s="10">
        <f t="shared" si="22"/>
        <v>1.0025041736227043</v>
      </c>
      <c r="Q222" s="10">
        <f t="shared" si="23"/>
        <v>2.0851063829787169E-2</v>
      </c>
    </row>
    <row r="223" spans="1:17" x14ac:dyDescent="0.25">
      <c r="A223" s="1">
        <v>85706</v>
      </c>
      <c r="B223" s="1">
        <v>1038010</v>
      </c>
      <c r="C223" s="1" t="s">
        <v>452</v>
      </c>
      <c r="D223" s="1" t="s">
        <v>453</v>
      </c>
      <c r="E223" s="18" t="s">
        <v>670</v>
      </c>
      <c r="F223" s="12">
        <v>9.5</v>
      </c>
      <c r="G223" s="13">
        <v>18</v>
      </c>
      <c r="H223" s="13">
        <v>245.51</v>
      </c>
      <c r="K223" s="6">
        <v>19.989999999999998</v>
      </c>
      <c r="L223" s="7">
        <v>4.99</v>
      </c>
      <c r="M223" s="8"/>
      <c r="N223" s="6">
        <f t="shared" si="24"/>
        <v>18.990499999999997</v>
      </c>
      <c r="O223" s="9">
        <f t="shared" si="21"/>
        <v>9.4952499999999986</v>
      </c>
      <c r="P223" s="10">
        <f t="shared" si="22"/>
        <v>0.90285571142284538</v>
      </c>
      <c r="Q223" s="10">
        <f t="shared" si="23"/>
        <v>-5.0000000000014356E-4</v>
      </c>
    </row>
    <row r="224" spans="1:17" x14ac:dyDescent="0.25">
      <c r="A224" s="1">
        <v>85708</v>
      </c>
      <c r="B224" s="1">
        <v>1322923</v>
      </c>
      <c r="C224" s="1" t="s">
        <v>461</v>
      </c>
      <c r="D224" s="1" t="s">
        <v>462</v>
      </c>
      <c r="E224" s="18" t="s">
        <v>610</v>
      </c>
      <c r="F224" s="12">
        <v>20</v>
      </c>
      <c r="G224" s="13">
        <v>1</v>
      </c>
      <c r="H224" s="13">
        <v>39.99</v>
      </c>
      <c r="K224" s="6"/>
      <c r="L224" s="6"/>
      <c r="M224" s="8"/>
      <c r="N224" s="6">
        <f t="shared" si="24"/>
        <v>0</v>
      </c>
      <c r="O224" s="9">
        <f t="shared" si="21"/>
        <v>0</v>
      </c>
      <c r="P224" s="10" t="e">
        <f t="shared" si="22"/>
        <v>#DIV/0!</v>
      </c>
      <c r="Q224" s="10">
        <f t="shared" si="23"/>
        <v>-1</v>
      </c>
    </row>
    <row r="225" spans="1:17" x14ac:dyDescent="0.25">
      <c r="A225" s="1">
        <v>85706</v>
      </c>
      <c r="B225" s="1">
        <v>1033794</v>
      </c>
      <c r="C225" s="1" t="s">
        <v>371</v>
      </c>
      <c r="D225" s="1" t="s">
        <v>454</v>
      </c>
      <c r="E225" s="18" t="s">
        <v>657</v>
      </c>
      <c r="F225" s="12">
        <v>1.4</v>
      </c>
      <c r="G225" s="13">
        <v>682</v>
      </c>
      <c r="H225" s="14">
        <v>1238.6600000000001</v>
      </c>
      <c r="K225" s="6">
        <f>6/5</f>
        <v>1.2</v>
      </c>
      <c r="L225" s="7">
        <v>0.45</v>
      </c>
      <c r="M225" s="8"/>
      <c r="N225" s="6">
        <v>1.0900000000000001</v>
      </c>
      <c r="O225" s="9">
        <f t="shared" si="21"/>
        <v>0.54500000000000004</v>
      </c>
      <c r="P225" s="10">
        <f t="shared" si="22"/>
        <v>0.21111111111111117</v>
      </c>
      <c r="Q225" s="10">
        <f t="shared" si="23"/>
        <v>-0.61071428571428565</v>
      </c>
    </row>
    <row r="226" spans="1:17" x14ac:dyDescent="0.25">
      <c r="A226" s="1">
        <v>85709</v>
      </c>
      <c r="B226" s="1">
        <v>1325183</v>
      </c>
      <c r="C226" s="1" t="s">
        <v>459</v>
      </c>
      <c r="D226" s="1" t="s">
        <v>460</v>
      </c>
      <c r="E226" s="18" t="s">
        <v>671</v>
      </c>
      <c r="F226" s="12">
        <v>16.62</v>
      </c>
      <c r="G226" s="13">
        <v>0</v>
      </c>
      <c r="H226" s="13">
        <v>0</v>
      </c>
      <c r="K226" s="6"/>
      <c r="L226" s="6"/>
      <c r="M226" s="8"/>
      <c r="N226" s="6">
        <f t="shared" si="24"/>
        <v>0</v>
      </c>
      <c r="O226" s="9">
        <f t="shared" si="21"/>
        <v>0</v>
      </c>
      <c r="P226" s="10" t="e">
        <f t="shared" si="22"/>
        <v>#DIV/0!</v>
      </c>
      <c r="Q226" s="10">
        <f t="shared" si="23"/>
        <v>-1</v>
      </c>
    </row>
    <row r="227" spans="1:17" x14ac:dyDescent="0.25">
      <c r="A227" s="1">
        <v>85709</v>
      </c>
      <c r="B227" s="1">
        <v>1323962</v>
      </c>
      <c r="C227" s="1" t="s">
        <v>463</v>
      </c>
      <c r="D227" s="1" t="s">
        <v>464</v>
      </c>
      <c r="E227" s="18" t="s">
        <v>614</v>
      </c>
      <c r="F227" s="12">
        <v>15</v>
      </c>
      <c r="G227" s="13">
        <v>0</v>
      </c>
      <c r="H227" s="13">
        <v>0</v>
      </c>
      <c r="K227" s="6"/>
      <c r="L227" s="6"/>
      <c r="M227" s="8"/>
      <c r="N227" s="6">
        <f t="shared" si="24"/>
        <v>0</v>
      </c>
      <c r="O227" s="9">
        <f t="shared" si="21"/>
        <v>0</v>
      </c>
      <c r="P227" s="10" t="e">
        <f t="shared" si="22"/>
        <v>#DIV/0!</v>
      </c>
      <c r="Q227" s="10">
        <f t="shared" si="23"/>
        <v>-1</v>
      </c>
    </row>
    <row r="228" spans="1:17" x14ac:dyDescent="0.25">
      <c r="A228" s="1">
        <v>85708</v>
      </c>
      <c r="B228" s="1">
        <v>1322869</v>
      </c>
      <c r="C228" s="1" t="s">
        <v>467</v>
      </c>
      <c r="D228" s="21" t="s">
        <v>468</v>
      </c>
      <c r="E228" s="22" t="s">
        <v>672</v>
      </c>
      <c r="F228" s="12">
        <v>65</v>
      </c>
      <c r="G228" s="13">
        <v>0</v>
      </c>
      <c r="H228" s="13">
        <v>0</v>
      </c>
      <c r="K228" s="6">
        <v>129.99</v>
      </c>
      <c r="L228" s="6">
        <v>29.99</v>
      </c>
      <c r="M228" s="8"/>
      <c r="N228" s="6">
        <v>124.99</v>
      </c>
      <c r="O228" s="9">
        <f t="shared" si="21"/>
        <v>62.494999999999997</v>
      </c>
      <c r="P228" s="10">
        <f t="shared" si="22"/>
        <v>1.0838612870956985</v>
      </c>
      <c r="Q228" s="10">
        <f t="shared" si="23"/>
        <v>-3.8538461538461577E-2</v>
      </c>
    </row>
    <row r="229" spans="1:17" x14ac:dyDescent="0.25">
      <c r="A229" s="1">
        <v>85709</v>
      </c>
      <c r="B229" s="1">
        <v>1033735</v>
      </c>
      <c r="C229" s="1" t="s">
        <v>465</v>
      </c>
      <c r="D229" s="1" t="s">
        <v>466</v>
      </c>
      <c r="E229" s="18" t="s">
        <v>601</v>
      </c>
      <c r="F229" s="12">
        <v>6.5</v>
      </c>
      <c r="G229" s="13">
        <v>275</v>
      </c>
      <c r="H229" s="14">
        <v>2655.99</v>
      </c>
      <c r="K229" s="6">
        <v>16.989999999999998</v>
      </c>
      <c r="L229" s="6">
        <v>4.99</v>
      </c>
      <c r="M229" s="8"/>
      <c r="N229" s="6">
        <v>15.99</v>
      </c>
      <c r="O229" s="9">
        <f t="shared" si="21"/>
        <v>7.9950000000000001</v>
      </c>
      <c r="P229" s="10">
        <f t="shared" si="22"/>
        <v>0.60220440881763526</v>
      </c>
      <c r="Q229" s="10">
        <f t="shared" si="23"/>
        <v>0.23</v>
      </c>
    </row>
    <row r="230" spans="1:17" x14ac:dyDescent="0.25">
      <c r="A230" s="1">
        <v>85709</v>
      </c>
      <c r="B230" s="1">
        <v>1373242</v>
      </c>
      <c r="C230" s="1" t="s">
        <v>481</v>
      </c>
      <c r="D230" s="1" t="s">
        <v>482</v>
      </c>
      <c r="E230" s="18" t="s">
        <v>601</v>
      </c>
      <c r="F230" s="12">
        <v>9</v>
      </c>
      <c r="G230" s="13">
        <v>21</v>
      </c>
      <c r="H230" s="13">
        <v>330.13</v>
      </c>
      <c r="K230" s="6"/>
      <c r="L230" s="6"/>
      <c r="M230" s="8"/>
      <c r="N230" s="6">
        <f t="shared" si="24"/>
        <v>0</v>
      </c>
      <c r="O230" s="9">
        <f t="shared" si="21"/>
        <v>0</v>
      </c>
      <c r="P230" s="10" t="e">
        <f t="shared" si="22"/>
        <v>#DIV/0!</v>
      </c>
      <c r="Q230" s="10">
        <f t="shared" si="23"/>
        <v>-1</v>
      </c>
    </row>
    <row r="231" spans="1:17" x14ac:dyDescent="0.25">
      <c r="A231" s="1">
        <v>85706</v>
      </c>
      <c r="B231" s="1">
        <v>1268090</v>
      </c>
      <c r="C231" s="1" t="s">
        <v>469</v>
      </c>
      <c r="D231" s="1" t="s">
        <v>470</v>
      </c>
      <c r="E231" s="18" t="s">
        <v>673</v>
      </c>
      <c r="F231" s="12">
        <v>9.5</v>
      </c>
      <c r="G231" s="13">
        <v>0</v>
      </c>
      <c r="H231" s="13">
        <v>0</v>
      </c>
      <c r="K231" s="6">
        <v>19.989999999999998</v>
      </c>
      <c r="L231" s="7">
        <v>9.9499999999999993</v>
      </c>
      <c r="M231" s="8"/>
      <c r="N231" s="6">
        <v>18.989999999999998</v>
      </c>
      <c r="O231" s="9">
        <f t="shared" si="21"/>
        <v>9.4949999999999992</v>
      </c>
      <c r="P231" s="10">
        <f t="shared" si="22"/>
        <v>-4.572864321608041E-2</v>
      </c>
      <c r="Q231" s="10">
        <f t="shared" si="23"/>
        <v>-5.2631578947376649E-4</v>
      </c>
    </row>
    <row r="232" spans="1:17" x14ac:dyDescent="0.25">
      <c r="A232" s="1">
        <v>85708</v>
      </c>
      <c r="B232" s="1">
        <v>1323083</v>
      </c>
      <c r="C232" s="1" t="s">
        <v>471</v>
      </c>
      <c r="D232" s="1" t="s">
        <v>472</v>
      </c>
      <c r="E232" s="18" t="s">
        <v>610</v>
      </c>
      <c r="F232" s="12">
        <v>50</v>
      </c>
      <c r="G232" s="13">
        <v>0</v>
      </c>
      <c r="H232" s="13">
        <v>0</v>
      </c>
      <c r="K232" s="6"/>
      <c r="L232" s="6"/>
      <c r="M232" s="8"/>
      <c r="N232" s="6">
        <f t="shared" si="24"/>
        <v>0</v>
      </c>
      <c r="O232" s="9">
        <f t="shared" si="21"/>
        <v>0</v>
      </c>
      <c r="P232" s="10" t="e">
        <f t="shared" si="22"/>
        <v>#DIV/0!</v>
      </c>
      <c r="Q232" s="10">
        <f t="shared" si="23"/>
        <v>-1</v>
      </c>
    </row>
    <row r="233" spans="1:17" x14ac:dyDescent="0.25">
      <c r="A233" s="1">
        <v>85708</v>
      </c>
      <c r="B233" s="1">
        <v>1033719</v>
      </c>
      <c r="C233" s="1" t="s">
        <v>473</v>
      </c>
      <c r="D233" s="1" t="s">
        <v>474</v>
      </c>
      <c r="E233" s="18" t="s">
        <v>623</v>
      </c>
      <c r="F233" s="12">
        <v>18.5</v>
      </c>
      <c r="G233" s="13">
        <v>0</v>
      </c>
      <c r="H233" s="13">
        <v>0</v>
      </c>
      <c r="K233" s="7">
        <v>39.99</v>
      </c>
      <c r="L233" s="7">
        <v>15.99</v>
      </c>
      <c r="M233" s="8"/>
      <c r="N233" s="6">
        <v>37.99</v>
      </c>
      <c r="O233" s="9">
        <f t="shared" si="21"/>
        <v>18.995000000000001</v>
      </c>
      <c r="P233" s="10">
        <f t="shared" si="22"/>
        <v>0.18792995622263919</v>
      </c>
      <c r="Q233" s="10">
        <f t="shared" si="23"/>
        <v>2.675675675675681E-2</v>
      </c>
    </row>
    <row r="234" spans="1:17" x14ac:dyDescent="0.25">
      <c r="A234" s="1">
        <v>85708</v>
      </c>
      <c r="B234" s="1">
        <v>1033700</v>
      </c>
      <c r="C234" s="1" t="s">
        <v>475</v>
      </c>
      <c r="D234" s="1" t="s">
        <v>476</v>
      </c>
      <c r="E234" s="18" t="s">
        <v>606</v>
      </c>
      <c r="F234" s="12">
        <v>14</v>
      </c>
      <c r="G234" s="13">
        <v>0</v>
      </c>
      <c r="H234" s="13">
        <v>0</v>
      </c>
      <c r="K234" s="6">
        <v>29.99</v>
      </c>
      <c r="L234" s="7">
        <v>10.99</v>
      </c>
      <c r="M234" s="8"/>
      <c r="N234" s="6">
        <v>28.99</v>
      </c>
      <c r="O234" s="9">
        <f t="shared" si="21"/>
        <v>14.494999999999999</v>
      </c>
      <c r="P234" s="10">
        <f t="shared" si="22"/>
        <v>0.31892629663330291</v>
      </c>
      <c r="Q234" s="10">
        <f t="shared" si="23"/>
        <v>3.5357142857142802E-2</v>
      </c>
    </row>
    <row r="235" spans="1:17" x14ac:dyDescent="0.25">
      <c r="A235" s="1">
        <v>85708</v>
      </c>
      <c r="B235" s="1">
        <v>1033697</v>
      </c>
      <c r="C235" s="1" t="s">
        <v>477</v>
      </c>
      <c r="D235" s="1" t="s">
        <v>478</v>
      </c>
      <c r="E235" s="18" t="s">
        <v>610</v>
      </c>
      <c r="F235" s="12">
        <v>11.75</v>
      </c>
      <c r="G235" s="13">
        <v>0</v>
      </c>
      <c r="H235" s="13">
        <v>0</v>
      </c>
      <c r="K235" s="6">
        <v>24.99</v>
      </c>
      <c r="L235" s="7">
        <v>7.99</v>
      </c>
      <c r="M235" s="8"/>
      <c r="N235" s="6">
        <v>23.99</v>
      </c>
      <c r="O235" s="9">
        <f t="shared" si="21"/>
        <v>11.994999999999999</v>
      </c>
      <c r="P235" s="10">
        <f t="shared" si="22"/>
        <v>0.50125156445556929</v>
      </c>
      <c r="Q235" s="10">
        <f t="shared" si="23"/>
        <v>2.0851063829787169E-2</v>
      </c>
    </row>
    <row r="236" spans="1:17" x14ac:dyDescent="0.25">
      <c r="A236" s="1">
        <v>85708</v>
      </c>
      <c r="B236" s="1">
        <v>1322940</v>
      </c>
      <c r="C236" s="1" t="s">
        <v>479</v>
      </c>
      <c r="D236" s="1" t="s">
        <v>480</v>
      </c>
      <c r="E236" s="18" t="s">
        <v>610</v>
      </c>
      <c r="F236" s="12">
        <v>17.5</v>
      </c>
      <c r="G236" s="13">
        <v>0</v>
      </c>
      <c r="H236" s="13">
        <v>0</v>
      </c>
      <c r="K236" s="6"/>
      <c r="L236" s="6"/>
      <c r="M236" s="8"/>
      <c r="N236" s="6">
        <f t="shared" si="24"/>
        <v>0</v>
      </c>
      <c r="O236" s="9">
        <f t="shared" si="21"/>
        <v>0</v>
      </c>
      <c r="P236" s="10" t="e">
        <f t="shared" si="22"/>
        <v>#DIV/0!</v>
      </c>
      <c r="Q236" s="10">
        <f t="shared" si="23"/>
        <v>-1</v>
      </c>
    </row>
    <row r="237" spans="1:17" x14ac:dyDescent="0.25">
      <c r="A237" s="20"/>
      <c r="B237" s="20"/>
      <c r="C237" s="20"/>
      <c r="D237" s="20"/>
      <c r="E237" s="20"/>
      <c r="F237" s="20"/>
      <c r="G237" s="20"/>
      <c r="H237" s="20"/>
      <c r="I237" s="20"/>
    </row>
    <row r="238" spans="1:17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K238" s="5">
        <f>SUM(K179:K236)</f>
        <v>1104.8166666666668</v>
      </c>
      <c r="L238" s="5">
        <f>SUM(L179:L236)</f>
        <v>358.55000000000007</v>
      </c>
      <c r="N238" s="5">
        <f>SUM(N179:N236)</f>
        <v>1047.4830000000002</v>
      </c>
      <c r="O238" s="5">
        <f>SUM(O179:O236)</f>
        <v>523.74150000000009</v>
      </c>
      <c r="P238" s="10">
        <f t="shared" ref="P238" si="25">(O238-L238)/L238</f>
        <v>0.46072095941988561</v>
      </c>
      <c r="Q238" s="10" t="e">
        <f t="shared" ref="Q238" si="26">(O238-F238)/F238</f>
        <v>#DIV/0!</v>
      </c>
    </row>
    <row r="239" spans="1:17" x14ac:dyDescent="0.25">
      <c r="G239"/>
      <c r="H239" s="5"/>
      <c r="I239" s="5"/>
      <c r="J239" s="5"/>
      <c r="O239"/>
      <c r="P239"/>
      <c r="Q239"/>
    </row>
    <row r="240" spans="1:17" x14ac:dyDescent="0.25">
      <c r="G240"/>
      <c r="H240" s="5"/>
      <c r="I240" s="5"/>
      <c r="J240" s="5"/>
      <c r="O240"/>
      <c r="P240"/>
      <c r="Q240"/>
    </row>
    <row r="241" spans="7:17" x14ac:dyDescent="0.25">
      <c r="G241"/>
      <c r="H241" s="5"/>
      <c r="I241" s="5"/>
      <c r="J241" s="5"/>
      <c r="O241"/>
      <c r="P241"/>
      <c r="Q241"/>
    </row>
    <row r="242" spans="7:17" x14ac:dyDescent="0.25">
      <c r="G242"/>
      <c r="H242" s="5"/>
      <c r="I242" s="5"/>
      <c r="J242" s="5"/>
      <c r="O242"/>
      <c r="P242"/>
      <c r="Q242"/>
    </row>
    <row r="243" spans="7:17" x14ac:dyDescent="0.25">
      <c r="G243"/>
      <c r="H243" s="5"/>
      <c r="I243" s="5"/>
      <c r="J243" s="5"/>
      <c r="O243"/>
      <c r="P243"/>
      <c r="Q243"/>
    </row>
    <row r="244" spans="7:17" x14ac:dyDescent="0.25">
      <c r="G244"/>
      <c r="H244" s="5"/>
      <c r="I244" s="5"/>
      <c r="J244" s="5"/>
      <c r="O244"/>
      <c r="P244"/>
      <c r="Q244"/>
    </row>
    <row r="245" spans="7:17" x14ac:dyDescent="0.25">
      <c r="G245"/>
      <c r="H245" s="5"/>
      <c r="I245" s="5"/>
      <c r="J245" s="5"/>
      <c r="O245"/>
      <c r="P245"/>
      <c r="Q245"/>
    </row>
    <row r="246" spans="7:17" x14ac:dyDescent="0.25">
      <c r="G246"/>
      <c r="H246" s="5"/>
      <c r="I246" s="5"/>
      <c r="J246" s="5"/>
      <c r="O246"/>
      <c r="P246"/>
      <c r="Q246"/>
    </row>
    <row r="247" spans="7:17" x14ac:dyDescent="0.25">
      <c r="G247"/>
      <c r="H247" s="5"/>
      <c r="I247" s="5"/>
      <c r="J247" s="5"/>
      <c r="O247"/>
      <c r="P247"/>
      <c r="Q247"/>
    </row>
    <row r="248" spans="7:17" x14ac:dyDescent="0.25">
      <c r="G248"/>
      <c r="H248" s="5"/>
      <c r="I248" s="5"/>
      <c r="J248" s="5"/>
      <c r="O248"/>
      <c r="P248"/>
      <c r="Q248"/>
    </row>
    <row r="249" spans="7:17" x14ac:dyDescent="0.25">
      <c r="G249"/>
      <c r="H249" s="5"/>
      <c r="I249" s="5"/>
      <c r="J249" s="5"/>
      <c r="O249"/>
      <c r="P249"/>
      <c r="Q249"/>
    </row>
    <row r="250" spans="7:17" x14ac:dyDescent="0.25">
      <c r="G250"/>
      <c r="H250" s="5"/>
      <c r="I250" s="5"/>
      <c r="J250" s="5"/>
      <c r="O250"/>
      <c r="P250"/>
      <c r="Q250"/>
    </row>
  </sheetData>
  <sortState ref="A2:Q174">
    <sortCondition ref="A2:A1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PETCO Animal Supplies Stores,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Chapman</dc:creator>
  <cp:lastModifiedBy>QAPC-NEW</cp:lastModifiedBy>
  <cp:lastPrinted>2017-01-06T00:06:20Z</cp:lastPrinted>
  <dcterms:created xsi:type="dcterms:W3CDTF">2015-11-03T17:07:37Z</dcterms:created>
  <dcterms:modified xsi:type="dcterms:W3CDTF">2017-01-06T00:06:38Z</dcterms:modified>
</cp:coreProperties>
</file>